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https://d.docs.live.net/C8E0C5AE89F7604B/Documents/Length Calculator/Distribution/"/>
    </mc:Choice>
  </mc:AlternateContent>
  <xr:revisionPtr revIDLastSave="0" documentId="8_{03D4B0BC-D5D4-4B4A-A0A1-0D4E9CEE1175}" xr6:coauthVersionLast="47" xr6:coauthVersionMax="47" xr10:uidLastSave="{00000000-0000-0000-0000-000000000000}"/>
  <bookViews>
    <workbookView xWindow="-108" yWindow="-108" windowWidth="23256" windowHeight="12456" xr2:uid="{08520582-04AE-47AC-8D59-0A811865D470}"/>
  </bookViews>
  <sheets>
    <sheet name="README" sheetId="5" r:id="rId1"/>
    <sheet name="Examples" sheetId="6" r:id="rId2"/>
    <sheet name="Accuracy Story" sheetId="2" r:id="rId3"/>
    <sheet name="Sheet1" sheetId="7" r:id="rId4"/>
  </sheets>
  <functionGroups builtInGroupCount="19"/>
  <definedNames>
    <definedName name="_xleta.AND" hidden="1" xlm="1">#NAME?</definedName>
    <definedName name="_xleta.LEN" hidden="1" xlm="1">#NAME?</definedName>
    <definedName name="_xleta.N" hidden="1" xlm="1">#NAME?</definedName>
    <definedName name="_xleta.SHEET" hidden="1" xlm="1">#NAME?</definedName>
    <definedName name="_xleta.T" hidden="1" xlm="1">#NAME?</definedName>
    <definedName name="myTestRange">#REF!,#REF!,#REF!,#REF!</definedName>
    <definedName name="Range1">Examples!$C$51:$D$52</definedName>
    <definedName name="Range2">Examples!$C$54:$D$55</definedName>
    <definedName name="Range3">Examples!$C$56,Examples!$C$57,Examples!$C$58,Examples!$D$56</definedName>
    <definedName name="rangeFraction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5" i="6" l="1" a="1"/>
  <c r="E95" i="6" a="1"/>
  <c r="E53" i="6" a="1"/>
  <c r="E111" i="6" a="1"/>
  <c r="E96" i="6" a="1"/>
  <c r="E105" i="6" a="1"/>
  <c r="E94" i="6" a="1"/>
  <c r="E79" i="6" a="1"/>
  <c r="E78" i="6" a="1"/>
  <c r="E87" i="6" a="1"/>
  <c r="E81" i="6" a="1"/>
  <c r="E114" i="6" a="1"/>
  <c r="E89" i="6" a="1"/>
  <c r="E86" i="6" a="1"/>
  <c r="E113" i="6" a="1"/>
  <c r="E69" i="6" a="1"/>
  <c r="E58" i="6" a="1"/>
  <c r="E112" i="6" a="1"/>
  <c r="E82" i="6" a="1"/>
  <c r="E70" i="6" a="1"/>
  <c r="E52" i="6" a="1"/>
  <c r="E104" i="6" a="1"/>
  <c r="E91" i="6" a="1"/>
  <c r="E80" i="6" a="1"/>
  <c r="E88" i="6" a="1"/>
  <c r="E103" i="6" a="1"/>
  <c r="E77" i="6" a="1"/>
  <c r="E102" i="6" a="1"/>
  <c r="E71" i="6" a="1"/>
  <c r="E98" i="6" a="1"/>
  <c r="E55" i="6" a="1"/>
  <c r="E97" i="6" a="1"/>
  <c r="E68" i="6" a="1"/>
  <c r="E72" i="6" a="1"/>
  <c r="E90" i="6" a="1"/>
  <c r="E106" i="6" a="1"/>
  <c r="F53" i="6"/>
  <c r="F80" i="6"/>
  <c r="F87" i="6"/>
  <c r="F86" i="6"/>
  <c r="F58" i="6"/>
  <c r="F88" i="6"/>
  <c r="F52" i="6"/>
  <c r="F95" i="6"/>
  <c r="F90" i="6"/>
  <c r="F70" i="6"/>
  <c r="F97" i="6"/>
  <c r="F96" i="6"/>
  <c r="F113" i="6"/>
  <c r="F98" i="6"/>
  <c r="F114" i="6"/>
  <c r="F103" i="6"/>
  <c r="F69" i="6"/>
  <c r="F104" i="6"/>
  <c r="F81" i="6"/>
  <c r="F106" i="6"/>
  <c r="F78" i="6"/>
  <c r="F91" i="6"/>
  <c r="F55" i="6"/>
  <c r="F94" i="6"/>
  <c r="F71" i="6"/>
  <c r="F72" i="6"/>
  <c r="F82" i="6"/>
  <c r="F112" i="6"/>
  <c r="F64" i="6"/>
  <c r="F111" i="6"/>
  <c r="F105" i="6"/>
  <c r="F79" i="6"/>
  <c r="F115" i="6"/>
  <c r="F102" i="6"/>
  <c r="F89" i="6"/>
  <c r="F77" i="6"/>
  <c r="E115" i="6" l="1"/>
  <c r="E114" i="6"/>
  <c r="E113" i="6"/>
  <c r="E112" i="6"/>
  <c r="E111" i="6"/>
  <c r="E106" i="6"/>
  <c r="E105" i="6"/>
  <c r="E104" i="6"/>
  <c r="E103" i="6"/>
  <c r="E102" i="6"/>
  <c r="E98" i="6"/>
  <c r="E97" i="6"/>
  <c r="E96" i="6"/>
  <c r="E95" i="6"/>
  <c r="E94" i="6"/>
  <c r="E91" i="6"/>
  <c r="E90" i="6"/>
  <c r="E89" i="6"/>
  <c r="E88" i="6"/>
  <c r="E87" i="6"/>
  <c r="E86" i="6"/>
  <c r="E58" i="6"/>
  <c r="E55" i="6"/>
  <c r="E53" i="6"/>
  <c r="E52" i="6"/>
  <c r="E82" i="6"/>
  <c r="E81" i="6"/>
  <c r="E80" i="6"/>
  <c r="E79" i="6"/>
  <c r="E78" i="6"/>
  <c r="E77" i="6"/>
  <c r="E72" i="6"/>
  <c r="E71" i="6"/>
  <c r="E70" i="6"/>
  <c r="E69" i="6"/>
  <c r="E68" i="6"/>
  <c r="E66" i="6" a="1"/>
  <c r="E16" i="6" a="1"/>
  <c r="E44" i="6" a="1"/>
  <c r="E22" i="6" a="1"/>
  <c r="E15" i="6" a="1"/>
  <c r="E24" i="6" a="1"/>
  <c r="E40" i="6" a="1"/>
  <c r="E27" i="6" a="1"/>
  <c r="E18" i="6" a="1"/>
  <c r="E25" i="6" a="1"/>
  <c r="E14" i="6" a="1"/>
  <c r="E9" i="6" a="1"/>
  <c r="E7" i="6" a="1"/>
  <c r="E37" i="6" a="1"/>
  <c r="E5" i="6" a="1"/>
  <c r="E13" i="6" a="1"/>
  <c r="E36" i="6" a="1"/>
  <c r="E39" i="6" a="1"/>
  <c r="E30" i="6" a="1"/>
  <c r="E45" i="6" a="1"/>
  <c r="E23" i="6" a="1"/>
  <c r="E6" i="6" a="1"/>
  <c r="E31" i="6" a="1"/>
  <c r="E19" i="6" a="1"/>
  <c r="E32" i="6" a="1"/>
  <c r="E35" i="6" a="1"/>
  <c r="E11" i="6" a="1"/>
  <c r="E64" i="6" a="1"/>
  <c r="E20" i="6" a="1"/>
  <c r="E43" i="6" a="1"/>
  <c r="E34" i="6" a="1"/>
  <c r="E10" i="6" a="1"/>
  <c r="E21" i="6" a="1"/>
  <c r="E33" i="6" a="1"/>
  <c r="E42" i="6" a="1"/>
  <c r="E67" i="6" a="1"/>
  <c r="E41" i="6" a="1"/>
  <c r="E17" i="6" a="1"/>
  <c r="E8" i="6" a="1"/>
  <c r="E65" i="6" a="1"/>
  <c r="E26" i="6" a="1"/>
  <c r="E12" i="6" a="1"/>
  <c r="E38" i="6" a="1"/>
  <c r="F20" i="6"/>
  <c r="F30" i="6"/>
  <c r="F19" i="6"/>
  <c r="F39" i="6"/>
  <c r="F11" i="6"/>
  <c r="F42" i="6"/>
  <c r="F37" i="6"/>
  <c r="F65" i="6"/>
  <c r="F68" i="6"/>
  <c r="F40" i="6"/>
  <c r="F35" i="6"/>
  <c r="F41" i="6"/>
  <c r="F7" i="6"/>
  <c r="F22" i="6"/>
  <c r="F38" i="6"/>
  <c r="F21" i="6"/>
  <c r="F10" i="6"/>
  <c r="F44" i="6"/>
  <c r="F67" i="6"/>
  <c r="F36" i="6"/>
  <c r="F27" i="6"/>
  <c r="F15" i="6"/>
  <c r="F9" i="6"/>
  <c r="F5" i="6"/>
  <c r="F33" i="6"/>
  <c r="F23" i="6"/>
  <c r="F43" i="6"/>
  <c r="F32" i="6"/>
  <c r="F26" i="6"/>
  <c r="F13" i="6"/>
  <c r="F16" i="6"/>
  <c r="F6" i="6"/>
  <c r="F8" i="6"/>
  <c r="F17" i="6"/>
  <c r="F66" i="6"/>
  <c r="F12" i="6"/>
  <c r="F45" i="6"/>
  <c r="F25" i="6"/>
  <c r="F31" i="6"/>
  <c r="F24" i="6"/>
  <c r="F18" i="6"/>
  <c r="F34" i="6"/>
  <c r="F14" i="6"/>
  <c r="E67" i="6" l="1"/>
  <c r="E66" i="6"/>
  <c r="E65" i="6"/>
  <c r="E64" i="6"/>
  <c r="E45" i="6"/>
  <c r="E44" i="6"/>
  <c r="E43" i="6"/>
  <c r="E42" i="6"/>
  <c r="E41" i="6"/>
  <c r="E40" i="6"/>
  <c r="E39" i="6"/>
  <c r="E38" i="6"/>
  <c r="E37" i="6"/>
  <c r="E36" i="6"/>
  <c r="E35" i="6"/>
  <c r="E27" i="6"/>
  <c r="E26" i="6"/>
  <c r="E25" i="6"/>
  <c r="E24" i="6"/>
  <c r="E23" i="6"/>
  <c r="E34" i="6"/>
  <c r="E33" i="6"/>
  <c r="E32" i="6"/>
  <c r="E31" i="6"/>
  <c r="E30" i="6"/>
  <c r="E22" i="6"/>
  <c r="E21" i="6"/>
  <c r="E20" i="6"/>
  <c r="E19" i="6"/>
  <c r="E18" i="6"/>
  <c r="E17" i="6"/>
  <c r="E16" i="6"/>
  <c r="E15" i="6"/>
  <c r="E10" i="6"/>
  <c r="E14" i="6"/>
  <c r="E13" i="6"/>
  <c r="E12" i="6"/>
  <c r="E11" i="6"/>
  <c r="E9" i="6"/>
  <c r="E8" i="6"/>
  <c r="E7" i="6"/>
  <c r="E6" i="6"/>
  <c r="E5" i="6"/>
  <c r="C26" i="2"/>
  <c r="C18" i="2"/>
  <c r="C11" i="2"/>
  <c r="C27" i="2" a="1"/>
  <c r="C4" i="2" a="1"/>
  <c r="C12" i="2" a="1"/>
  <c r="C19" i="2" a="1"/>
  <c r="C27" i="2" l="1"/>
  <c r="C19" i="2"/>
  <c r="C12" i="2"/>
  <c r="C4" i="2"/>
  <c r="C13" i="2" a="1"/>
  <c r="C5" i="2" a="1"/>
  <c r="C20" i="2" a="1"/>
  <c r="C28" i="2" a="1"/>
  <c r="C5" i="2" l="1"/>
  <c r="C28" i="2"/>
  <c r="C20" i="2"/>
  <c r="C13" i="2"/>
  <c r="C21" i="2" a="1"/>
  <c r="C29" i="2" a="1"/>
  <c r="C14" i="2" a="1"/>
  <c r="C6" i="2" a="1"/>
  <c r="C21" i="2" l="1"/>
  <c r="C29" i="2"/>
  <c r="C14" i="2"/>
  <c r="C6" i="2"/>
  <c r="C7" i="2" a="1"/>
  <c r="C15" i="2" a="1"/>
  <c r="C30" i="2" a="1"/>
  <c r="C22" i="2" a="1"/>
  <c r="C15" i="2" l="1"/>
  <c r="C30" i="2"/>
  <c r="C22" i="2"/>
  <c r="C7" i="2"/>
  <c r="C8" i="2" a="1"/>
  <c r="C23" i="2" a="1"/>
  <c r="C31" i="2" a="1"/>
  <c r="C8" i="2" l="1"/>
  <c r="C23" i="2"/>
  <c r="C31"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<sst xmlns="http://schemas.openxmlformats.org/spreadsheetml/2006/main" count="332" uniqueCount="263">
  <si>
    <t>5 1/2"</t>
  </si>
  <si>
    <t>2 1/4"</t>
  </si>
  <si>
    <t>Start with a decimal number of inches that do not work out to an even fractional half, quarter, eighth, etc.</t>
  </si>
  <si>
    <t>44.29"</t>
  </si>
  <si>
    <t>Convert that number to standard length with decimal inches</t>
  </si>
  <si>
    <t>Convert that number to standard length with the "best" denominator</t>
  </si>
  <si>
    <t>Divide the length by 3</t>
  </si>
  <si>
    <t>Multiply by 3</t>
  </si>
  <si>
    <t>What's the inaccuracy?</t>
  </si>
  <si>
    <t>Using "Best" Fractions</t>
  </si>
  <si>
    <t>Using No Fractions</t>
  </si>
  <si>
    <t>Using 'integer" 1/32 nds Fractions</t>
  </si>
  <si>
    <t>Using "exact" 1/32 nds Fractions</t>
  </si>
  <si>
    <t>=ReformatLength(C3,"SQ DQ /0")</t>
  </si>
  <si>
    <t>=ReformatLength(C4,"SQ DQ /best")</t>
  </si>
  <si>
    <t>=DivideLength(C5,3,"SQ DQ /best")</t>
  </si>
  <si>
    <t>=ScaleLength(C6,3,"SQ DQ /best")</t>
  </si>
  <si>
    <t>=subtractlengths(C5,C7, "SQ DQ /0")</t>
  </si>
  <si>
    <t>=C3</t>
  </si>
  <si>
    <t>=ReformatLength(C11,"SQ DQ /0")</t>
  </si>
  <si>
    <t>=DivideLength(C12,3,"SQ DQ /0")</t>
  </si>
  <si>
    <t>=ScaleLength(C13,3,"SQ DQ /0")</t>
  </si>
  <si>
    <t>=subtractlengths(C12,C14,"SQ DQ /0")</t>
  </si>
  <si>
    <t>=ReformatLength(C18,"SQ DQ /0")</t>
  </si>
  <si>
    <t>=ReformatLength(C19,"SQ DQ /32")</t>
  </si>
  <si>
    <t>=DivideLength(C20,3,"SQ DQ /32")</t>
  </si>
  <si>
    <t>=ScaleLength(C21,3,"SQ DQ /32")</t>
  </si>
  <si>
    <t>=subtractlengths(C20,C22,"SQ DQ /32")</t>
  </si>
  <si>
    <t>=C11</t>
  </si>
  <si>
    <t>=ReformatLength(C26,"SQ DQ /0")</t>
  </si>
  <si>
    <t>=ReformatLength(C27,"SQ DQ /~32")</t>
  </si>
  <si>
    <t>=DivideLength(C28,3,"SQ DQ /~32")</t>
  </si>
  <si>
    <t>=ScaleLength(C29,3,"SQ DQ /~32")</t>
  </si>
  <si>
    <t>=subtractlengths(C28,C30,"SQ DQ /32")</t>
  </si>
  <si>
    <t>Length Expression Calculation Utilities</t>
  </si>
  <si>
    <t>Overview</t>
  </si>
  <si>
    <t>Release</t>
  </si>
  <si>
    <t>-------</t>
  </si>
  <si>
    <t>Version 1.0 — May 2025</t>
  </si>
  <si>
    <t>--------</t>
  </si>
  <si>
    <t>This Excel add-in enables users to perform calculations and conversions involving length expressions such as `2'-4 1/2"` with ease. It supports a variety of formats, including mixed fractions, decimals, and feet/inches combinations.</t>
  </si>
  <si>
    <t>Excel Modifications (Handled in Background)</t>
  </si>
  <si>
    <t>-------------------------------------------</t>
  </si>
  <si>
    <t>The add-in makes minor internal changes to support its features:</t>
  </si>
  <si>
    <t>- Defines global variables for consistent formatting.</t>
  </si>
  <si>
    <t>- Modifies `WorkbookActivate` and `WorkbookDeactivate` events to enable the Formula Builder utility.</t>
  </si>
  <si>
    <t>These changes operate behind the scenes. Users typically do not need to manage them directly.</t>
  </si>
  <si>
    <t>Available Functions</t>
  </si>
  <si>
    <t>-------------------</t>
  </si>
  <si>
    <t>You can use the following custom functions in Excel formulas:</t>
  </si>
  <si>
    <t>- `AddLengths(cell1, cell2, [format])` — Adds two length expressions.</t>
  </si>
  <si>
    <t>- `AddNamedRange("range", [format])` — Adds all values in a named range.</t>
  </si>
  <si>
    <t>- `SubtractLengths(base, subtract, [format])` — Subtracts one length from another.</t>
  </si>
  <si>
    <t>- `DivideLength(base, numDiv, [format])` — Divides a length into a number of equal parts.</t>
  </si>
  <si>
    <t>- `DivideLengths(base, unit)` — Determines how many units fit into a base length.</t>
  </si>
  <si>
    <t>- `ScaleLength(length, scalar, [format])` — Scales a length by a given multiplier.</t>
  </si>
  <si>
    <t>- `ReformatLength(length, [format])` — Reformats a length expression.</t>
  </si>
  <si>
    <t>- `LengthInches(length)` — Returns the value in inches as a decimal.</t>
  </si>
  <si>
    <t>- `LengthFeet(length)` — Returns the value in feet as a decimal.</t>
  </si>
  <si>
    <t>Fractional Inch Display Options</t>
  </si>
  <si>
    <t>-------------------------------</t>
  </si>
  <si>
    <t>- `/0` — Decimal only (e.g., `5.25"`)</t>
  </si>
  <si>
    <t>- `/2`, `/4`, `/8`, `/16`, `/32`, `/64` — Show as exact fractions (e.g., `3.5/16`)</t>
  </si>
  <si>
    <t>- `/~4` — Round to nearest 1/4 inch</t>
  </si>
  <si>
    <t>- `/best` — Best fractional match (e.g., `3.1/8"`)</t>
  </si>
  <si>
    <t>- `/~best` — Nearest common fraction (e.g., `3/8"`)</t>
  </si>
  <si>
    <t>Formatting Shortcuts</t>
  </si>
  <si>
    <t>--------------------</t>
  </si>
  <si>
    <t>You can include these shortcuts in your format string for quick customization:</t>
  </si>
  <si>
    <t>- `"!standard"` — Applies standard format using `' " /best`</t>
  </si>
  <si>
    <t>- `"!last"` — Reuses the most recently used format</t>
  </si>
  <si>
    <t xml:space="preserve">- `"…. !save"` — Saves the current format for future use  </t>
  </si>
  <si>
    <t>- `"!reuse"` — Applies the last saved format</t>
  </si>
  <si>
    <t>"As Is" — no expressed or implied warranties</t>
  </si>
  <si>
    <t xml:space="preserve">Repeated use of fractions can accumulate roundoff error.  </t>
  </si>
  <si>
    <t>Caution</t>
  </si>
  <si>
    <t>Venmo: @markrsikora</t>
  </si>
  <si>
    <t>Email: markrsikora [at] gmail [dot] com</t>
  </si>
  <si>
    <t>Created by Mark Sikora (Riverside, IL)</t>
  </si>
  <si>
    <t>Donation &amp; Contact:</t>
  </si>
  <si>
    <t>----------------------</t>
  </si>
  <si>
    <t>Additional Information</t>
  </si>
  <si>
    <t xml:space="preserve">  _Example: `' ft. in. /8 !save`_</t>
  </si>
  <si>
    <t>1' 4"</t>
  </si>
  <si>
    <t>Example Number</t>
  </si>
  <si>
    <t>Result</t>
  </si>
  <si>
    <t>Input 1</t>
  </si>
  <si>
    <t>Input 2</t>
  </si>
  <si>
    <t>Formula</t>
  </si>
  <si>
    <t>Description</t>
  </si>
  <si>
    <t>Formatting</t>
  </si>
  <si>
    <t>2' 4 1/4"</t>
  </si>
  <si>
    <t>Shows the effect of the /n formatting specification</t>
  </si>
  <si>
    <t>Shows how the !last format specification</t>
  </si>
  <si>
    <t>28.25"</t>
  </si>
  <si>
    <t>Saving a format specification</t>
  </si>
  <si>
    <t>Effect of !save and !reuse formatting</t>
  </si>
  <si>
    <t>2 3/64"</t>
  </si>
  <si>
    <t>If no format is specified, !standard will be used</t>
  </si>
  <si>
    <t>Using the "best" fractional inch spec introduces rounding error</t>
  </si>
  <si>
    <t>2 4 1/4</t>
  </si>
  <si>
    <t>Don't necessarily need " indicator if feet indicator is used</t>
  </si>
  <si>
    <t>Need a foot indicator if feet are used</t>
  </si>
  <si>
    <t>-2' 4 1/4</t>
  </si>
  <si>
    <t>Negative lengths are supported as well.  Input cell for length expression should start with a ' character or else Excel will object to the input,</t>
  </si>
  <si>
    <t>2' 4 8/32"</t>
  </si>
  <si>
    <t>Utilities have the result of reducing fractions where possible</t>
  </si>
  <si>
    <t>AddLengths</t>
  </si>
  <si>
    <t>2' 2 68 /32"</t>
  </si>
  <si>
    <t>Fractions need not have a numerator less than or equal to denominator</t>
  </si>
  <si>
    <t>2' 4 100/400"</t>
  </si>
  <si>
    <t>Input fractions can be any fraction but output is limited to /2, /4, /8, /16, /32, /64</t>
  </si>
  <si>
    <t>The /0 specification for fractional inches makes inches a decimal value</t>
  </si>
  <si>
    <t>5a</t>
  </si>
  <si>
    <t>5b</t>
  </si>
  <si>
    <t>5c</t>
  </si>
  <si>
    <t>Shows that length expressions can easily be reformatted with different feet / inch symbols.  Also shows the /best specification for fractional inches chose the best fraction.</t>
  </si>
  <si>
    <t>Shows how the !standard format specification works</t>
  </si>
  <si>
    <t>Temporarily changed to standard format</t>
  </si>
  <si>
    <t>Using exact form of fractional inch specification</t>
  </si>
  <si>
    <t>Add the contents of two cells which contain length expressions</t>
  </si>
  <si>
    <t>2' 4 1/2"</t>
  </si>
  <si>
    <t>6' 3 1/4"</t>
  </si>
  <si>
    <t>Most functions to not necessarily have to refer to length expressions contained in cells.  They can also operate on properly formatted length expressions.</t>
  </si>
  <si>
    <t>Simple addition of 2 lengths</t>
  </si>
  <si>
    <t>2' 7 1/2"</t>
  </si>
  <si>
    <t>Fractions &gt;= 1 increment inches and inches &gt;= 12 increment feet</t>
  </si>
  <si>
    <t>2'8 3/4"</t>
  </si>
  <si>
    <t>-2' 1 1/2"</t>
  </si>
  <si>
    <t>2' - 4 1/4"</t>
  </si>
  <si>
    <t>-'s beteen feet and inches are ignored for input</t>
  </si>
  <si>
    <t>-'s can be requested in the format specification between feet and inches</t>
  </si>
  <si>
    <t>-'s can be requested in the format specification between inches and fraction</t>
  </si>
  <si>
    <t>SQ is a quick and safe way to specify "single quote" and DQ is a safe and easy way to specify double quotes.  -'s can be requested in the format specification between feet and inches AND between inches and fraction</t>
  </si>
  <si>
    <t>SQ and DQ can be mixed with other format specifications</t>
  </si>
  <si>
    <t>This is a little more complicated because adding inch fractions results in an inch being generated and carried over as well as total inches &gt; 12 causing inch carryover to feet.</t>
  </si>
  <si>
    <t>Addlengths also works with negative lengths</t>
  </si>
  <si>
    <t>Addlengths without a format specification is the same as adding the !standard format specification.</t>
  </si>
  <si>
    <t>SubtractLengths</t>
  </si>
  <si>
    <t>Subtracts the length amount of one cell from the length amount in another</t>
  </si>
  <si>
    <t>4.25"</t>
  </si>
  <si>
    <t>5.25'</t>
  </si>
  <si>
    <t>5.25 feet = 5' 3".  4.25" = 4 1/4".  Addition is correct.</t>
  </si>
  <si>
    <t>5'      5   1/4"</t>
  </si>
  <si>
    <t>6' 4 1/2"</t>
  </si>
  <si>
    <t>Whitespace after logical spacing is ignored in formulas</t>
  </si>
  <si>
    <t>5'</t>
  </si>
  <si>
    <t>-4' 11 4/4"</t>
  </si>
  <si>
    <t>A resultant calculation of zero will not result in an error or hinder operation of the utilities</t>
  </si>
  <si>
    <t>-5.25'</t>
  </si>
  <si>
    <t>A negative result can be obtained</t>
  </si>
  <si>
    <t>1/64</t>
  </si>
  <si>
    <t>We can work with small fractions</t>
  </si>
  <si>
    <t>No units default to inches for input</t>
  </si>
  <si>
    <t>9999 feet</t>
  </si>
  <si>
    <t>1/64"</t>
  </si>
  <si>
    <t>No problem with very large and very small additions.</t>
  </si>
  <si>
    <t>14a</t>
  </si>
  <si>
    <t>55' 5"</t>
  </si>
  <si>
    <t>Setup a format and save it</t>
  </si>
  <si>
    <t>14b</t>
  </si>
  <si>
    <t>21'</t>
  </si>
  <si>
    <t>27"</t>
  </si>
  <si>
    <t>Next use !standard format specification</t>
  </si>
  <si>
    <t>Go back to saved format specification</t>
  </si>
  <si>
    <t>14c</t>
  </si>
  <si>
    <r>
      <rPr>
        <b/>
        <sz val="12"/>
        <color theme="1"/>
        <rFont val="Aptos Narrow"/>
        <family val="2"/>
        <scheme val="minor"/>
      </rPr>
      <t>SubtractLengths</t>
    </r>
    <r>
      <rPr>
        <sz val="11"/>
        <color theme="1"/>
        <rFont val="Aptos Narrow"/>
        <family val="2"/>
        <scheme val="minor"/>
      </rPr>
      <t xml:space="preserve">( </t>
    </r>
    <r>
      <rPr>
        <sz val="11"/>
        <color theme="1"/>
        <rFont val="Courier New"/>
        <family val="3"/>
      </rPr>
      <t>baselength</t>
    </r>
    <r>
      <rPr>
        <sz val="11"/>
        <color theme="1"/>
        <rFont val="Aptos Narrow"/>
        <family val="2"/>
        <scheme val="minor"/>
      </rPr>
      <t xml:space="preserve"> , </t>
    </r>
    <r>
      <rPr>
        <sz val="11"/>
        <color theme="1"/>
        <rFont val="Courier New"/>
        <family val="3"/>
      </rPr>
      <t>subtractAmount</t>
    </r>
    <r>
      <rPr>
        <sz val="11"/>
        <color theme="1"/>
        <rFont val="Aptos Narrow"/>
        <family val="2"/>
        <scheme val="minor"/>
      </rPr>
      <t>, ["</t>
    </r>
    <r>
      <rPr>
        <i/>
        <sz val="11"/>
        <color theme="1"/>
        <rFont val="Aptos Narrow"/>
        <family val="2"/>
        <scheme val="minor"/>
      </rPr>
      <t>optional format specs</t>
    </r>
    <r>
      <rPr>
        <sz val="11"/>
        <color theme="1"/>
        <rFont val="Aptos Narrow"/>
        <family val="2"/>
        <scheme val="minor"/>
      </rPr>
      <t>"] ) as string</t>
    </r>
  </si>
  <si>
    <r>
      <rPr>
        <b/>
        <sz val="12"/>
        <color theme="1"/>
        <rFont val="Aptos Narrow"/>
        <family val="2"/>
        <scheme val="minor"/>
      </rPr>
      <t>AddLengths</t>
    </r>
    <r>
      <rPr>
        <sz val="11"/>
        <color theme="1"/>
        <rFont val="Aptos Narrow"/>
        <family val="2"/>
        <scheme val="minor"/>
      </rPr>
      <t xml:space="preserve">( </t>
    </r>
    <r>
      <rPr>
        <sz val="11"/>
        <color theme="1"/>
        <rFont val="Courier New"/>
        <family val="3"/>
      </rPr>
      <t>cell1</t>
    </r>
    <r>
      <rPr>
        <sz val="11"/>
        <color theme="1"/>
        <rFont val="Aptos Narrow"/>
        <family val="2"/>
        <scheme val="minor"/>
      </rPr>
      <t xml:space="preserve"> , </t>
    </r>
    <r>
      <rPr>
        <sz val="11"/>
        <color theme="1"/>
        <rFont val="Courier New"/>
        <family val="3"/>
      </rPr>
      <t>cell2</t>
    </r>
    <r>
      <rPr>
        <sz val="11"/>
        <color theme="1"/>
        <rFont val="Aptos Narrow"/>
        <family val="2"/>
        <scheme val="minor"/>
      </rPr>
      <t>, ["</t>
    </r>
    <r>
      <rPr>
        <i/>
        <sz val="11"/>
        <color theme="1"/>
        <rFont val="Aptos Narrow"/>
        <family val="2"/>
        <scheme val="minor"/>
      </rPr>
      <t>optional format specs</t>
    </r>
    <r>
      <rPr>
        <sz val="11"/>
        <color theme="1"/>
        <rFont val="Aptos Narrow"/>
        <family val="2"/>
        <scheme val="minor"/>
      </rPr>
      <t>"] ) as String</t>
    </r>
  </si>
  <si>
    <t>10' 6 1/2"</t>
  </si>
  <si>
    <t>3' 6 1/4"</t>
  </si>
  <si>
    <t>Simple use of SubtractLengths with optional format specification</t>
  </si>
  <si>
    <t>-3' 6 1/4"</t>
  </si>
  <si>
    <t>Subtracting a negative length is akin to adding the absolute value - negative of a negative is a positive.</t>
  </si>
  <si>
    <t>18' 4 1/8"</t>
  </si>
  <si>
    <t>SubtractLengths supports the formatting specification shortcuts.</t>
  </si>
  <si>
    <t>SubtractLengths can work with the !save !reuse and !last format designations.</t>
  </si>
  <si>
    <t>4a</t>
  </si>
  <si>
    <t>4b</t>
  </si>
  <si>
    <t>0' 0"</t>
  </si>
  <si>
    <t>Zero values are supported</t>
  </si>
  <si>
    <t>2' 1 1/4"</t>
  </si>
  <si>
    <t>6.5' 0 1/2"</t>
  </si>
  <si>
    <t>2.5'</t>
  </si>
  <si>
    <t>SubtractLenghs works with decimal fractions as well</t>
  </si>
  <si>
    <t>1000'</t>
  </si>
  <si>
    <t>Big and small values do no effect calculations</t>
  </si>
  <si>
    <t>Divides one length into another and returns a scalar quantity represented as a double</t>
  </si>
  <si>
    <t>3' 3"</t>
  </si>
  <si>
    <t>1' 1"</t>
  </si>
  <si>
    <t>Simple DivideLengths problem</t>
  </si>
  <si>
    <t>-1' 1"</t>
  </si>
  <si>
    <t>Negative inputs don't make physical sense but are allowed for mathematical completeness</t>
  </si>
  <si>
    <t>Division by zero is trapped and reported as an error</t>
  </si>
  <si>
    <t>Division into zero is always zero and DivideLengths allows this</t>
  </si>
  <si>
    <t>3/4"</t>
  </si>
  <si>
    <t>Theoretically, how many 3/4" strips can I get from a 1x6 ?</t>
  </si>
  <si>
    <t>Shows nesting of function calls and how many 3/4" strips can be taken from a 1x6 board if we account for a 1/8" saw kerf.</t>
  </si>
  <si>
    <t>AddNamedRange</t>
  </si>
  <si>
    <r>
      <rPr>
        <b/>
        <sz val="12"/>
        <color theme="1"/>
        <rFont val="Aptos Narrow"/>
        <family val="2"/>
        <scheme val="minor"/>
      </rPr>
      <t>AddNamedRange</t>
    </r>
    <r>
      <rPr>
        <sz val="11"/>
        <color theme="1"/>
        <rFont val="Aptos Narrow"/>
        <family val="2"/>
        <scheme val="minor"/>
      </rPr>
      <t>( "rangeName" , ["</t>
    </r>
    <r>
      <rPr>
        <i/>
        <sz val="11"/>
        <color theme="1"/>
        <rFont val="Aptos Narrow"/>
        <family val="2"/>
        <scheme val="minor"/>
      </rPr>
      <t>optional format specs</t>
    </r>
    <r>
      <rPr>
        <sz val="11"/>
        <color theme="1"/>
        <rFont val="Aptos Narrow"/>
        <family val="2"/>
        <scheme val="minor"/>
      </rPr>
      <t>"] ) as string</t>
    </r>
  </si>
  <si>
    <t>Sums the lengths of expressions contained in a user-defined, named range.  AddLengths operates on only 2 cells where AddNamedRange operates on all  cells in a named range.</t>
  </si>
  <si>
    <t>1' 1 1/4"</t>
  </si>
  <si>
    <t>The cells in yellow are comprise a named range called "Range1".  All four lengths are summed with the AddNamedRange function.</t>
  </si>
  <si>
    <t>The named range "Range99" has not been defined so an error result is returned when it's referenced in the AddNamedRange function</t>
  </si>
  <si>
    <t>5.5"</t>
  </si>
  <si>
    <t>5.25"</t>
  </si>
  <si>
    <t>AddNamedRange works with decimal and fractional inches as shown in the green shaded cells.</t>
  </si>
  <si>
    <t>-9 ft. 4 in</t>
  </si>
  <si>
    <t>2' 3 1/2 in</t>
  </si>
  <si>
    <t>6' 6"</t>
  </si>
  <si>
    <t>2' 3 3/4"</t>
  </si>
  <si>
    <t>The named ranges do not have to be rectangular for AddNamedRange to operate because it works on ranges with multiple areas as indicated by the orange shading.</t>
  </si>
  <si>
    <t>DivideLengths</t>
  </si>
  <si>
    <t>DivideLength</t>
  </si>
  <si>
    <r>
      <rPr>
        <b/>
        <sz val="12"/>
        <color theme="1"/>
        <rFont val="Aptos Narrow"/>
        <family val="2"/>
        <scheme val="minor"/>
      </rPr>
      <t>DivideLengths</t>
    </r>
    <r>
      <rPr>
        <sz val="11"/>
        <color theme="1"/>
        <rFont val="Aptos Narrow"/>
        <family val="2"/>
        <scheme val="minor"/>
      </rPr>
      <t xml:space="preserve">( </t>
    </r>
    <r>
      <rPr>
        <sz val="11"/>
        <color theme="1"/>
        <rFont val="Courier New"/>
        <family val="3"/>
      </rPr>
      <t>baselength</t>
    </r>
    <r>
      <rPr>
        <sz val="11"/>
        <color theme="1"/>
        <rFont val="Aptos Narrow"/>
        <family val="2"/>
        <scheme val="minor"/>
      </rPr>
      <t xml:space="preserve"> , </t>
    </r>
    <r>
      <rPr>
        <sz val="11"/>
        <color theme="1"/>
        <rFont val="Courier New"/>
        <family val="3"/>
      </rPr>
      <t>unitLength</t>
    </r>
    <r>
      <rPr>
        <sz val="11"/>
        <color theme="1"/>
        <rFont val="Aptos Narrow"/>
        <family val="2"/>
        <scheme val="minor"/>
      </rPr>
      <t>, ["</t>
    </r>
    <r>
      <rPr>
        <i/>
        <sz val="11"/>
        <color theme="1"/>
        <rFont val="Aptos Narrow"/>
        <family val="2"/>
        <scheme val="minor"/>
      </rPr>
      <t>optional format specs</t>
    </r>
    <r>
      <rPr>
        <sz val="11"/>
        <color theme="1"/>
        <rFont val="Aptos Narrow"/>
        <family val="2"/>
        <scheme val="minor"/>
      </rPr>
      <t>"] ) as Double</t>
    </r>
  </si>
  <si>
    <r>
      <rPr>
        <b/>
        <sz val="12"/>
        <color theme="1"/>
        <rFont val="Aptos Narrow"/>
        <family val="2"/>
        <scheme val="minor"/>
      </rPr>
      <t>DivideLength</t>
    </r>
    <r>
      <rPr>
        <sz val="11"/>
        <color theme="1"/>
        <rFont val="Aptos Narrow"/>
        <family val="2"/>
        <scheme val="minor"/>
      </rPr>
      <t xml:space="preserve">( </t>
    </r>
    <r>
      <rPr>
        <sz val="11"/>
        <color theme="1"/>
        <rFont val="Courier New"/>
        <family val="3"/>
      </rPr>
      <t>baselength</t>
    </r>
    <r>
      <rPr>
        <sz val="11"/>
        <color theme="1"/>
        <rFont val="Aptos Narrow"/>
        <family val="2"/>
        <scheme val="minor"/>
      </rPr>
      <t xml:space="preserve"> , </t>
    </r>
    <r>
      <rPr>
        <sz val="11"/>
        <color theme="1"/>
        <rFont val="Courier New"/>
        <family val="3"/>
      </rPr>
      <t>nDivisions</t>
    </r>
    <r>
      <rPr>
        <sz val="11"/>
        <color theme="1"/>
        <rFont val="Aptos Narrow"/>
        <family val="2"/>
        <scheme val="minor"/>
      </rPr>
      <t>, ["</t>
    </r>
    <r>
      <rPr>
        <i/>
        <sz val="11"/>
        <color theme="1"/>
        <rFont val="Aptos Narrow"/>
        <family val="2"/>
        <scheme val="minor"/>
      </rPr>
      <t>optional format specs</t>
    </r>
    <r>
      <rPr>
        <sz val="11"/>
        <color theme="1"/>
        <rFont val="Aptos Narrow"/>
        <family val="2"/>
        <scheme val="minor"/>
      </rPr>
      <t>"] ) as String</t>
    </r>
  </si>
  <si>
    <t>Divides a length into a specified number of segments of equal length</t>
  </si>
  <si>
    <t>3' - 3 3/4"</t>
  </si>
  <si>
    <t>The DivideLength function returns a length expression and operates on fractional inches as well as feet and inches</t>
  </si>
  <si>
    <t>3' 3.75</t>
  </si>
  <si>
    <t>It works on decimal representations as well as fractional</t>
  </si>
  <si>
    <t>-3' 3 3/4"</t>
  </si>
  <si>
    <t>It also works on negative numbers to stay consistent with the math but the physical sense of negative number of divisions is questionable as well as negative lengths</t>
  </si>
  <si>
    <t>3' 3 3/4"</t>
  </si>
  <si>
    <t>A specification of zero divisions returns an error because we're dividing by zero.</t>
  </si>
  <si>
    <t>Naturally, dividing a length by 1 returns the original length</t>
  </si>
  <si>
    <t>28' 6 1/4"</t>
  </si>
  <si>
    <t>The returned segment length does not need to represent a "nice" amount.  It can be a fractional amount with a decimal numerator.</t>
  </si>
  <si>
    <t>ScaleLength</t>
  </si>
  <si>
    <t>Multiplies a length by a scaling factor.  Yes, clever use of the ScaleLength function is equivalent to the DivideLength function in most cases except where the scaling factor is zero.</t>
  </si>
  <si>
    <t>6' 4 1/8"</t>
  </si>
  <si>
    <t>Simple use of the ScaleLength function to double a length</t>
  </si>
  <si>
    <t>Example on halving a length - Equivalent to DivideLength( myLength, 2, format)</t>
  </si>
  <si>
    <t>Zero times any length results in zero.</t>
  </si>
  <si>
    <t>4.45"</t>
  </si>
  <si>
    <t>Works with fractional inches as well as decimal.</t>
  </si>
  <si>
    <r>
      <rPr>
        <b/>
        <sz val="12"/>
        <color theme="1"/>
        <rFont val="Aptos Narrow"/>
        <family val="2"/>
        <scheme val="minor"/>
      </rPr>
      <t>ScaleLength</t>
    </r>
    <r>
      <rPr>
        <sz val="11"/>
        <color theme="1"/>
        <rFont val="Aptos Narrow"/>
        <family val="2"/>
        <scheme val="minor"/>
      </rPr>
      <t xml:space="preserve">( </t>
    </r>
    <r>
      <rPr>
        <sz val="11"/>
        <color theme="1"/>
        <rFont val="Courier New"/>
        <family val="3"/>
      </rPr>
      <t>baselength</t>
    </r>
    <r>
      <rPr>
        <sz val="11"/>
        <color theme="1"/>
        <rFont val="Aptos Narrow"/>
        <family val="2"/>
        <scheme val="minor"/>
      </rPr>
      <t xml:space="preserve"> ,scaleFactor, ["</t>
    </r>
    <r>
      <rPr>
        <i/>
        <sz val="11"/>
        <color theme="1"/>
        <rFont val="Aptos Narrow"/>
        <family val="2"/>
        <scheme val="minor"/>
      </rPr>
      <t>optional format specs</t>
    </r>
    <r>
      <rPr>
        <sz val="11"/>
        <color theme="1"/>
        <rFont val="Aptos Narrow"/>
        <family val="2"/>
        <scheme val="minor"/>
      </rPr>
      <t>"] ) as String</t>
    </r>
  </si>
  <si>
    <t>LengthInches</t>
  </si>
  <si>
    <t>Returns a length as a number of inches</t>
  </si>
  <si>
    <t>12'</t>
  </si>
  <si>
    <r>
      <rPr>
        <b/>
        <sz val="12"/>
        <color theme="1"/>
        <rFont val="Aptos Narrow"/>
        <family val="2"/>
        <scheme val="minor"/>
      </rPr>
      <t>LengthInches</t>
    </r>
    <r>
      <rPr>
        <sz val="11"/>
        <color theme="1"/>
        <rFont val="Aptos Narrow"/>
        <family val="2"/>
        <scheme val="minor"/>
      </rPr>
      <t xml:space="preserve">( </t>
    </r>
    <r>
      <rPr>
        <sz val="11"/>
        <color theme="1"/>
        <rFont val="Courier New"/>
        <family val="3"/>
      </rPr>
      <t>baselength</t>
    </r>
    <r>
      <rPr>
        <sz val="11"/>
        <color theme="1"/>
        <rFont val="Aptos Narrow"/>
        <family val="2"/>
        <scheme val="minor"/>
      </rPr>
      <t xml:space="preserve"> ) as Double</t>
    </r>
  </si>
  <si>
    <t>Straightforward use of LengthInches</t>
  </si>
  <si>
    <t>12.625'</t>
  </si>
  <si>
    <t>456/16"</t>
  </si>
  <si>
    <t>LengthFeet</t>
  </si>
  <si>
    <r>
      <rPr>
        <b/>
        <sz val="12"/>
        <color theme="1"/>
        <rFont val="Aptos Narrow"/>
        <family val="2"/>
        <scheme val="minor"/>
      </rPr>
      <t>LengthFeet</t>
    </r>
    <r>
      <rPr>
        <sz val="11"/>
        <color theme="1"/>
        <rFont val="Aptos Narrow"/>
        <family val="2"/>
        <scheme val="minor"/>
      </rPr>
      <t xml:space="preserve">( </t>
    </r>
    <r>
      <rPr>
        <sz val="11"/>
        <color theme="1"/>
        <rFont val="Courier New"/>
        <family val="3"/>
      </rPr>
      <t>baselength</t>
    </r>
    <r>
      <rPr>
        <sz val="11"/>
        <color theme="1"/>
        <rFont val="Aptos Narrow"/>
        <family val="2"/>
        <scheme val="minor"/>
      </rPr>
      <t xml:space="preserve"> ) as Double</t>
    </r>
  </si>
  <si>
    <t>Returns a length as a number of feet</t>
  </si>
  <si>
    <t>144"</t>
  </si>
  <si>
    <t>Straightforward use of LengthFeet</t>
  </si>
  <si>
    <t>1' 32/16"</t>
  </si>
  <si>
    <t>-24"</t>
  </si>
  <si>
    <t>999/2"</t>
  </si>
  <si>
    <t>-12' 4 7/8"</t>
  </si>
  <si>
    <t>Works on negative lengths too</t>
  </si>
  <si>
    <t>Zero length returns zero inches</t>
  </si>
  <si>
    <t>Zero length returns zero feet</t>
  </si>
  <si>
    <t>Works on decimal feet to decimal inches</t>
  </si>
  <si>
    <t>Works with fractional inches - even with a large numerator</t>
  </si>
  <si>
    <t>Works with fractional inches</t>
  </si>
  <si>
    <t>Works with negative lengths</t>
  </si>
  <si>
    <t>Works with fractional inches with a large numeratotr</t>
  </si>
  <si>
    <t>Formula Builder</t>
  </si>
  <si>
    <t>Invoked by pressing CTL+h</t>
  </si>
  <si>
    <t>The parameters passed to the Length Expression Calculation Utilities are quite natural for the operation being performed, but we can forget them at times.  In addition, it's sometimes difficult to remember how to quickly remember how to format the output result.  
The included Formula Builder is intended to make this an easy process - especially for beginners.  The diagram to the left illustrates how a user can select options for a function and how the result of choices and options result in a formula.  The resultant formula can be copied to the ClipBoard and pasted directly into an Excel Formula.
Of course, the parameters passed through the ClipBoard are generic but the user can select them in the formula and replace them with a mouse click on the appropriate cell.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</si>
</sst>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b/>
      <sz val="12"/>
      <color theme="1"/>
      <name val="Aptos Narrow"/>
      <family val="2"/>
      <scheme val="minor"/>
    </font>
    <font>
      <b/>
      <sz val="16"/>
      <name val="Calibri"/>
      <family val="2"/>
    </font>
    <font>
      <sz val="11"/>
      <color theme="1"/>
      <name val="Courier New"/>
      <family val="3"/>
    </font>
    <font>
      <i/>
      <sz val="11"/>
      <color theme="1"/>
      <name val="Aptos Narrow"/>
      <family val="2"/>
      <scheme val="minor"/>
    </font>
  </fonts>
  <fills count="7">
    <fill>
      <patternFill patternType="none"/>
    </fill>
    <fill>
      <patternFill patternType="gray125"/>
    </fill>
    <fill>
      <patternFill patternType="solid">
        <fgColor theme="7" tint="0.79998168889431442"/>
        <bgColor indexed="64"/>
      </patternFill>
    </fill>
    <fill>
      <patternFill patternType="solid">
        <fgColor rgb="FFFFFF00"/>
        <bgColor indexed="64"/>
      </patternFill>
    </fill>
    <fill>
      <patternFill patternType="solid">
        <fgColor theme="3" tint="0.89999084444715716"/>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7">
    <xf numFmtId="0" fontId="0" fillId="0" borderId="0" xfId="0"/>
    <xf numFmtId="0" fontId="0" fillId="0" borderId="0" xfId="0" quotePrefix="1"/>
    <xf numFmtId="0" fontId="0" fillId="0" borderId="0" xfId="0" applyAlignment="1">
      <alignment wrapText="1"/>
    </xf>
    <xf numFmtId="0" fontId="0" fillId="0" borderId="0" xfId="0" applyAlignment="1">
      <alignment vertical="center"/>
    </xf>
    <xf numFmtId="0" fontId="1" fillId="0" borderId="0" xfId="0" applyFont="1" applyAlignment="1">
      <alignment wrapText="1"/>
    </xf>
    <xf numFmtId="0" fontId="0" fillId="0" borderId="1" xfId="0" applyBorder="1" applyAlignment="1">
      <alignment wrapText="1"/>
    </xf>
    <xf numFmtId="0" fontId="0" fillId="0" borderId="1" xfId="0" applyBorder="1" applyAlignment="1">
      <alignment vertical="center"/>
    </xf>
    <xf numFmtId="0" fontId="0" fillId="0" borderId="1" xfId="0" quotePrefix="1" applyBorder="1" applyAlignment="1">
      <alignment vertical="center"/>
    </xf>
    <xf numFmtId="0" fontId="0" fillId="2" borderId="1" xfId="0" applyFill="1" applyBorder="1" applyAlignment="1">
      <alignment vertical="center"/>
    </xf>
    <xf numFmtId="0" fontId="2" fillId="0" borderId="0" xfId="0" applyFont="1" applyAlignment="1">
      <alignment horizontal="center"/>
    </xf>
    <xf numFmtId="0" fontId="1" fillId="0" borderId="0" xfId="0" applyFont="1"/>
    <xf numFmtId="0" fontId="0" fillId="0" borderId="0" xfId="0" applyAlignment="1">
      <alignment vertical="top" wrapText="1"/>
    </xf>
    <xf numFmtId="0" fontId="0" fillId="0" borderId="0" xfId="0" applyAlignment="1">
      <alignment vertical="top"/>
    </xf>
    <xf numFmtId="0" fontId="0" fillId="0" borderId="0" xfId="0" applyAlignment="1">
      <alignment horizontal="center" vertical="top" wrapText="1"/>
    </xf>
    <xf numFmtId="0" fontId="0" fillId="0" borderId="0" xfId="0" applyAlignment="1">
      <alignment horizontal="left" wrapText="1"/>
    </xf>
    <xf numFmtId="12" fontId="0" fillId="0" borderId="0" xfId="0" applyNumberFormat="1" applyAlignment="1">
      <alignment vertical="top"/>
    </xf>
    <xf numFmtId="0" fontId="0" fillId="0" borderId="0" xfId="0" quotePrefix="1" applyAlignment="1">
      <alignment vertical="top"/>
    </xf>
    <xf numFmtId="0" fontId="0" fillId="4" borderId="0" xfId="0" applyFill="1"/>
    <xf numFmtId="0" fontId="0" fillId="4" borderId="0" xfId="0" applyFill="1" applyAlignment="1">
      <alignment horizontal="center" vertical="top" wrapText="1"/>
    </xf>
    <xf numFmtId="0" fontId="0" fillId="4" borderId="0" xfId="0" applyFill="1" applyAlignment="1">
      <alignment vertical="top"/>
    </xf>
    <xf numFmtId="0" fontId="0" fillId="4" borderId="0" xfId="0" applyFill="1" applyAlignment="1">
      <alignment vertical="top" wrapText="1"/>
    </xf>
    <xf numFmtId="0" fontId="1" fillId="0" borderId="0" xfId="0" applyFont="1" applyAlignment="1">
      <alignment vertical="center"/>
    </xf>
    <xf numFmtId="0" fontId="0" fillId="0" borderId="0" xfId="0" applyAlignment="1">
      <alignment horizontal="left" vertical="center"/>
    </xf>
    <xf numFmtId="0" fontId="0" fillId="0" borderId="0" xfId="0" applyAlignment="1">
      <alignment vertical="center" wrapText="1"/>
    </xf>
    <xf numFmtId="0" fontId="0" fillId="0" borderId="0" xfId="0" quotePrefix="1" applyAlignment="1">
      <alignment vertical="top" wrapText="1"/>
    </xf>
    <xf numFmtId="0" fontId="0" fillId="4" borderId="0" xfId="0" quotePrefix="1" applyFill="1" applyAlignment="1">
      <alignment vertical="top" wrapText="1"/>
    </xf>
    <xf numFmtId="0" fontId="0" fillId="4" borderId="0" xfId="0" quotePrefix="1" applyFill="1" applyAlignment="1">
      <alignment vertical="top"/>
    </xf>
    <xf numFmtId="0" fontId="0" fillId="0" borderId="0" xfId="0" applyAlignment="1">
      <alignment horizontal="center" vertical="top"/>
    </xf>
    <xf numFmtId="0" fontId="0" fillId="4" borderId="0" xfId="0" applyFill="1" applyAlignment="1">
      <alignment horizontal="center" vertical="top"/>
    </xf>
    <xf numFmtId="0" fontId="0" fillId="3" borderId="0" xfId="0" applyFill="1" applyAlignment="1">
      <alignment vertical="center"/>
    </xf>
    <xf numFmtId="0" fontId="0" fillId="5" borderId="0" xfId="0" applyFill="1" applyAlignment="1">
      <alignment vertical="top"/>
    </xf>
    <xf numFmtId="0" fontId="0" fillId="6" borderId="0" xfId="0" applyFill="1" applyAlignment="1">
      <alignment vertical="top"/>
    </xf>
    <xf numFmtId="0" fontId="0" fillId="6" borderId="0" xfId="0" quotePrefix="1" applyFill="1" applyAlignment="1">
      <alignment vertical="top"/>
    </xf>
    <xf numFmtId="0" fontId="0" fillId="6" borderId="0" xfId="0" applyFill="1" applyAlignment="1">
      <alignment vertical="top" wrapText="1"/>
    </xf>
    <xf numFmtId="0" fontId="0" fillId="4" borderId="0" xfId="0" applyFill="1" applyAlignment="1">
      <alignment wrapText="1"/>
    </xf>
    <xf numFmtId="0" fontId="0" fillId="0" borderId="0" xfId="0" quotePrefix="1" applyAlignment="1">
      <alignment horizontal="center" vertical="top"/>
    </xf>
    <xf numFmtId="0" fontId="0" fillId="0" borderId="0" xfId="0" applyAlignment="1">
      <alignment horizontal="lef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120</xdr:row>
      <xdr:rowOff>0</xdr:rowOff>
    </xdr:from>
    <xdr:to>
      <xdr:col>5</xdr:col>
      <xdr:colOff>2058897</xdr:colOff>
      <xdr:row>120</xdr:row>
      <xdr:rowOff>4008541</xdr:rowOff>
    </xdr:to>
    <xdr:pic>
      <xdr:nvPicPr>
        <xdr:cNvPr id="3" name="Picture 2">
          <a:extLst>
            <a:ext uri="{FF2B5EF4-FFF2-40B4-BE49-F238E27FC236}">
              <a16:creationId xmlns:a16="http://schemas.microsoft.com/office/drawing/2014/main" id="{09EB32C2-5466-4178-81D1-21FE13ED87E5}"/>
            </a:ext>
          </a:extLst>
        </xdr:cNvPr>
        <xdr:cNvPicPr>
          <a:picLocks noChangeAspect="1"/>
        </xdr:cNvPicPr>
      </xdr:nvPicPr>
      <xdr:blipFill>
        <a:blip xmlns:r="http://schemas.openxmlformats.org/officeDocument/2006/relationships" r:embed="rId1"/>
        <a:stretch>
          <a:fillRect/>
        </a:stretch>
      </xdr:blipFill>
      <xdr:spPr>
        <a:xfrm>
          <a:off x="0" y="29855160"/>
          <a:ext cx="6966177" cy="400854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431A9-D63F-4DD7-9B08-FDC3FD3C9B20}">
  <sheetPr codeName="Sheet3"/>
  <dimension ref="A1:A62"/>
  <sheetViews>
    <sheetView tabSelected="1" workbookViewId="0">
      <selection activeCell="A3" sqref="A3"/>
    </sheetView>
  </sheetViews>
  <sheetFormatPr defaultRowHeight="14.4" x14ac:dyDescent="0.3"/>
  <cols>
    <col min="1" max="1" width="100" customWidth="1"/>
  </cols>
  <sheetData>
    <row r="1" spans="1:1" ht="21" customHeight="1" x14ac:dyDescent="0.4">
      <c r="A1" s="9" t="s">
        <v>34</v>
      </c>
    </row>
    <row r="4" spans="1:1" x14ac:dyDescent="0.3">
      <c r="A4" t="s">
        <v>36</v>
      </c>
    </row>
    <row r="5" spans="1:1" x14ac:dyDescent="0.3">
      <c r="A5" t="s">
        <v>37</v>
      </c>
    </row>
    <row r="6" spans="1:1" x14ac:dyDescent="0.3">
      <c r="A6" t="s">
        <v>38</v>
      </c>
    </row>
    <row r="8" spans="1:1" x14ac:dyDescent="0.3">
      <c r="A8" t="s">
        <v>35</v>
      </c>
    </row>
    <row r="9" spans="1:1" x14ac:dyDescent="0.3">
      <c r="A9" t="s">
        <v>39</v>
      </c>
    </row>
    <row r="10" spans="1:1" x14ac:dyDescent="0.3">
      <c r="A10" t="s">
        <v>40</v>
      </c>
    </row>
    <row r="11" spans="1:1" x14ac:dyDescent="0.3">
      <c r="A11" s="1"/>
    </row>
    <row r="12" spans="1:1" x14ac:dyDescent="0.3">
      <c r="A12" s="1" t="s">
        <v>41</v>
      </c>
    </row>
    <row r="13" spans="1:1" x14ac:dyDescent="0.3">
      <c r="A13" t="s">
        <v>42</v>
      </c>
    </row>
    <row r="14" spans="1:1" x14ac:dyDescent="0.3">
      <c r="A14" t="s">
        <v>43</v>
      </c>
    </row>
    <row r="15" spans="1:1" x14ac:dyDescent="0.3">
      <c r="A15" t="s">
        <v>44</v>
      </c>
    </row>
    <row r="16" spans="1:1" x14ac:dyDescent="0.3">
      <c r="A16" t="s">
        <v>45</v>
      </c>
    </row>
    <row r="18" spans="1:1" x14ac:dyDescent="0.3">
      <c r="A18" t="s">
        <v>46</v>
      </c>
    </row>
    <row r="20" spans="1:1" x14ac:dyDescent="0.3">
      <c r="A20" t="s">
        <v>47</v>
      </c>
    </row>
    <row r="21" spans="1:1" x14ac:dyDescent="0.3">
      <c r="A21" t="s">
        <v>48</v>
      </c>
    </row>
    <row r="22" spans="1:1" x14ac:dyDescent="0.3">
      <c r="A22" t="s">
        <v>49</v>
      </c>
    </row>
    <row r="24" spans="1:1" x14ac:dyDescent="0.3">
      <c r="A24" t="s">
        <v>50</v>
      </c>
    </row>
    <row r="25" spans="1:1" x14ac:dyDescent="0.3">
      <c r="A25" t="s">
        <v>51</v>
      </c>
    </row>
    <row r="26" spans="1:1" x14ac:dyDescent="0.3">
      <c r="A26" t="s">
        <v>52</v>
      </c>
    </row>
    <row r="27" spans="1:1" x14ac:dyDescent="0.3">
      <c r="A27" t="s">
        <v>53</v>
      </c>
    </row>
    <row r="28" spans="1:1" x14ac:dyDescent="0.3">
      <c r="A28" t="s">
        <v>54</v>
      </c>
    </row>
    <row r="29" spans="1:1" x14ac:dyDescent="0.3">
      <c r="A29" t="s">
        <v>55</v>
      </c>
    </row>
    <row r="30" spans="1:1" x14ac:dyDescent="0.3">
      <c r="A30" t="s">
        <v>56</v>
      </c>
    </row>
    <row r="31" spans="1:1" x14ac:dyDescent="0.3">
      <c r="A31" t="s">
        <v>57</v>
      </c>
    </row>
    <row r="32" spans="1:1" x14ac:dyDescent="0.3">
      <c r="A32" t="s">
        <v>58</v>
      </c>
    </row>
    <row r="33" spans="1:1" x14ac:dyDescent="0.3">
      <c r="A33" s="1"/>
    </row>
    <row r="34" spans="1:1" x14ac:dyDescent="0.3">
      <c r="A34" s="1" t="s">
        <v>59</v>
      </c>
    </row>
    <row r="35" spans="1:1" x14ac:dyDescent="0.3">
      <c r="A35" s="1" t="s">
        <v>60</v>
      </c>
    </row>
    <row r="36" spans="1:1" x14ac:dyDescent="0.3">
      <c r="A36" s="1" t="s">
        <v>61</v>
      </c>
    </row>
    <row r="37" spans="1:1" x14ac:dyDescent="0.3">
      <c r="A37" t="s">
        <v>62</v>
      </c>
    </row>
    <row r="38" spans="1:1" x14ac:dyDescent="0.3">
      <c r="A38" t="s">
        <v>63</v>
      </c>
    </row>
    <row r="39" spans="1:1" x14ac:dyDescent="0.3">
      <c r="A39" t="s">
        <v>64</v>
      </c>
    </row>
    <row r="40" spans="1:1" x14ac:dyDescent="0.3">
      <c r="A40" t="s">
        <v>65</v>
      </c>
    </row>
    <row r="42" spans="1:1" x14ac:dyDescent="0.3">
      <c r="A42" t="s">
        <v>66</v>
      </c>
    </row>
    <row r="43" spans="1:1" x14ac:dyDescent="0.3">
      <c r="A43" t="s">
        <v>67</v>
      </c>
    </row>
    <row r="44" spans="1:1" x14ac:dyDescent="0.3">
      <c r="A44" t="s">
        <v>68</v>
      </c>
    </row>
    <row r="46" spans="1:1" x14ac:dyDescent="0.3">
      <c r="A46" t="s">
        <v>69</v>
      </c>
    </row>
    <row r="47" spans="1:1" x14ac:dyDescent="0.3">
      <c r="A47" t="s">
        <v>70</v>
      </c>
    </row>
    <row r="48" spans="1:1" x14ac:dyDescent="0.3">
      <c r="A48" t="s">
        <v>71</v>
      </c>
    </row>
    <row r="49" spans="1:1" x14ac:dyDescent="0.3">
      <c r="A49" t="s">
        <v>82</v>
      </c>
    </row>
    <row r="50" spans="1:1" x14ac:dyDescent="0.3">
      <c r="A50" t="s">
        <v>72</v>
      </c>
    </row>
    <row r="51" spans="1:1" x14ac:dyDescent="0.3">
      <c r="A51" s="1"/>
    </row>
    <row r="52" spans="1:1" x14ac:dyDescent="0.3">
      <c r="A52" t="s">
        <v>81</v>
      </c>
    </row>
    <row r="53" spans="1:1" x14ac:dyDescent="0.3">
      <c r="A53" t="s">
        <v>80</v>
      </c>
    </row>
    <row r="54" spans="1:1" x14ac:dyDescent="0.3">
      <c r="A54" t="s">
        <v>79</v>
      </c>
    </row>
    <row r="55" spans="1:1" x14ac:dyDescent="0.3">
      <c r="A55" t="s">
        <v>78</v>
      </c>
    </row>
    <row r="56" spans="1:1" x14ac:dyDescent="0.3">
      <c r="A56" t="s">
        <v>77</v>
      </c>
    </row>
    <row r="57" spans="1:1" x14ac:dyDescent="0.3">
      <c r="A57" t="s">
        <v>76</v>
      </c>
    </row>
    <row r="59" spans="1:1" x14ac:dyDescent="0.3">
      <c r="A59" t="s">
        <v>75</v>
      </c>
    </row>
    <row r="60" spans="1:1" x14ac:dyDescent="0.3">
      <c r="A60" t="s">
        <v>37</v>
      </c>
    </row>
    <row r="61" spans="1:1" x14ac:dyDescent="0.3">
      <c r="A61" t="s">
        <v>74</v>
      </c>
    </row>
    <row r="62" spans="1:1" x14ac:dyDescent="0.3">
      <c r="A62" t="s">
        <v>73</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CD28E-FF7C-4379-BE79-310A9FF2D6DB}">
  <sheetPr codeName="Sheet4"/>
  <dimension ref="A2:G121"/>
  <sheetViews>
    <sheetView workbookViewId="0">
      <pane ySplit="2" topLeftCell="A10" activePane="bottomLeft" state="frozen"/>
      <selection pane="bottomLeft" activeCell="C135" sqref="C135"/>
    </sheetView>
  </sheetViews>
  <sheetFormatPr defaultRowHeight="14.4" outlineLevelRow="2" x14ac:dyDescent="0.3"/>
  <cols>
    <col min="1" max="1" width="24.6640625" customWidth="1"/>
    <col min="2" max="2" width="8.33203125" style="13" customWidth="1"/>
    <col min="3" max="3" width="11.21875" style="12" customWidth="1"/>
    <col min="4" max="4" width="11" style="12" customWidth="1"/>
    <col min="5" max="5" width="16.33203125" style="12" customWidth="1"/>
    <col min="6" max="6" width="34.88671875" style="11" customWidth="1"/>
    <col min="7" max="7" width="54.6640625" style="11" customWidth="1"/>
  </cols>
  <sheetData>
    <row r="2" spans="1:7" ht="28.8" x14ac:dyDescent="0.3">
      <c r="B2" s="14" t="s">
        <v>84</v>
      </c>
      <c r="C2" t="s">
        <v>86</v>
      </c>
      <c r="D2" t="s">
        <v>87</v>
      </c>
      <c r="E2" t="s">
        <v>85</v>
      </c>
      <c r="F2" s="2" t="s">
        <v>88</v>
      </c>
      <c r="G2" s="2" t="s">
        <v>89</v>
      </c>
    </row>
    <row r="4" spans="1:7" ht="15.6" x14ac:dyDescent="0.3">
      <c r="A4" s="10" t="s">
        <v>90</v>
      </c>
    </row>
    <row r="5" spans="1:7" s="17" customFormat="1" ht="43.2" outlineLevel="1" x14ac:dyDescent="0.3">
      <c r="B5" s="18">
        <v>1</v>
      </c>
      <c r="C5" s="19" t="s">
        <v>91</v>
      </c>
      <c r="D5" s="19"/>
      <c r="E5" s="19" t="str" cm="1">
        <f t="array" ref="E5">ReformatLength(C5, "ft. in. /best")</f>
        <v>2 Ft. 4 1/4 In.</v>
      </c>
      <c r="F5" s="20" t="str">
        <f t="shared" ref="F5:F14" ca="1" si="0">_xlfn.FORMULATEXT(E5)</f>
        <v>=ReformatLength(C5, "ft. in. /best")</v>
      </c>
      <c r="G5" s="20" t="s">
        <v>116</v>
      </c>
    </row>
    <row r="6" spans="1:7" outlineLevel="1" x14ac:dyDescent="0.3">
      <c r="B6" s="13">
        <v>2</v>
      </c>
      <c r="C6" s="12" t="s">
        <v>91</v>
      </c>
      <c r="E6" s="12" t="str" cm="1">
        <f t="array" ref="E6">ReformatLength(C6, "ft. in. /8")</f>
        <v>2 Ft. 4 2/8 In.</v>
      </c>
      <c r="F6" s="11" t="str">
        <f t="shared" ca="1" si="0"/>
        <v>=ReformatLength(C6, "ft. in. /8")</v>
      </c>
      <c r="G6" s="11" t="s">
        <v>92</v>
      </c>
    </row>
    <row r="7" spans="1:7" s="17" customFormat="1" outlineLevel="1" x14ac:dyDescent="0.3">
      <c r="B7" s="18">
        <v>3</v>
      </c>
      <c r="C7" s="19" t="s">
        <v>91</v>
      </c>
      <c r="D7" s="19"/>
      <c r="E7" s="19" t="str" cm="1">
        <f t="array" ref="E7">ReformatLength(C7, "!last")</f>
        <v>2 Ft 4 8/32 In</v>
      </c>
      <c r="F7" s="20" t="str">
        <f t="shared" ca="1" si="0"/>
        <v>=ReformatLength(C7, "!last")</v>
      </c>
      <c r="G7" s="20" t="s">
        <v>93</v>
      </c>
    </row>
    <row r="8" spans="1:7" outlineLevel="1" x14ac:dyDescent="0.3">
      <c r="B8" s="13">
        <v>4</v>
      </c>
      <c r="C8" s="12" t="s">
        <v>94</v>
      </c>
      <c r="E8" s="12" t="str" cm="1">
        <f t="array" ref="E8" xml:space="preserve"> ReformatLength(C8,"!standard")</f>
        <v>2 ' 4 1/4 "</v>
      </c>
      <c r="F8" s="11" t="str">
        <f t="shared" ca="1" si="0"/>
        <v>= ReformatLength(C8,"!standard")</v>
      </c>
      <c r="G8" s="11" t="s">
        <v>117</v>
      </c>
    </row>
    <row r="9" spans="1:7" s="17" customFormat="1" outlineLevel="1" x14ac:dyDescent="0.3">
      <c r="B9" s="18" t="s">
        <v>113</v>
      </c>
      <c r="C9" s="19" t="s">
        <v>91</v>
      </c>
      <c r="D9" s="19"/>
      <c r="E9" s="19" t="str" cm="1">
        <f t="array" ref="E9">ReformatLength(C9, "in ft /32 !save")</f>
        <v>2 Ft 4 8/32 In</v>
      </c>
      <c r="F9" s="20" t="str">
        <f t="shared" ca="1" si="0"/>
        <v>=ReformatLength(C9, "in ft /32 !save")</v>
      </c>
      <c r="G9" s="20" t="s">
        <v>95</v>
      </c>
    </row>
    <row r="10" spans="1:7" s="17" customFormat="1" outlineLevel="1" x14ac:dyDescent="0.3">
      <c r="B10" s="18" t="s">
        <v>114</v>
      </c>
      <c r="C10" s="19"/>
      <c r="D10" s="19"/>
      <c r="E10" s="19" t="str" cm="1">
        <f t="array" ref="E10">ReformatLength(C9,"!standard")</f>
        <v>2 ' 4 1/4 "</v>
      </c>
      <c r="F10" s="20" t="str">
        <f t="shared" ca="1" si="0"/>
        <v>=ReformatLength(C9,"!standard")</v>
      </c>
      <c r="G10" s="20" t="s">
        <v>118</v>
      </c>
    </row>
    <row r="11" spans="1:7" s="17" customFormat="1" outlineLevel="1" x14ac:dyDescent="0.3">
      <c r="B11" s="18" t="s">
        <v>115</v>
      </c>
      <c r="C11" s="19"/>
      <c r="D11" s="19"/>
      <c r="E11" s="19" t="str" cm="1">
        <f t="array" ref="E11">ReformatLength(C9,"!reuse")</f>
        <v>2 4 1/4</v>
      </c>
      <c r="F11" s="20" t="str">
        <f t="shared" ca="1" si="0"/>
        <v>=ReformatLength(C9,"!reuse")</v>
      </c>
      <c r="G11" s="20" t="s">
        <v>96</v>
      </c>
    </row>
    <row r="12" spans="1:7" outlineLevel="1" x14ac:dyDescent="0.3">
      <c r="B12" s="13">
        <v>6</v>
      </c>
      <c r="C12" s="12" t="s">
        <v>97</v>
      </c>
      <c r="E12" s="12" t="str" cm="1">
        <f t="array" ref="E12">ReformatLength(C12)</f>
        <v>2 3/64 "</v>
      </c>
      <c r="F12" s="11" t="str">
        <f t="shared" ca="1" si="0"/>
        <v>=ReformatLength(C12)</v>
      </c>
      <c r="G12" s="11" t="s">
        <v>98</v>
      </c>
    </row>
    <row r="13" spans="1:7" s="17" customFormat="1" outlineLevel="1" x14ac:dyDescent="0.3">
      <c r="B13" s="18">
        <v>7</v>
      </c>
      <c r="C13" s="19" t="s">
        <v>97</v>
      </c>
      <c r="D13" s="19"/>
      <c r="E13" s="19" t="str" cm="1">
        <f t="array" ref="E13">ReformatLength(C13, "ft in /32")</f>
        <v>2 1.5/32 In</v>
      </c>
      <c r="F13" s="20" t="str">
        <f t="shared" ca="1" si="0"/>
        <v>=ReformatLength(C13, "ft in /32")</v>
      </c>
      <c r="G13" s="20" t="s">
        <v>119</v>
      </c>
    </row>
    <row r="14" spans="1:7" outlineLevel="1" x14ac:dyDescent="0.3">
      <c r="B14" s="13">
        <v>8</v>
      </c>
      <c r="C14" s="12" t="s">
        <v>97</v>
      </c>
      <c r="E14" s="12" t="str" cm="1">
        <f t="array" ref="E14">ReformatLength(C13, "ft in /~32")</f>
        <v>2 1/32 In</v>
      </c>
      <c r="F14" s="11" t="str">
        <f t="shared" ca="1" si="0"/>
        <v>=ReformatLength(C13, "ft in /~32")</v>
      </c>
      <c r="G14" s="11" t="s">
        <v>99</v>
      </c>
    </row>
    <row r="15" spans="1:7" s="17" customFormat="1" outlineLevel="1" x14ac:dyDescent="0.3">
      <c r="B15" s="18">
        <v>9</v>
      </c>
      <c r="C15" s="19" t="s">
        <v>91</v>
      </c>
      <c r="D15" s="19"/>
      <c r="E15" s="19" t="str" cm="1">
        <f t="array" ref="E15">ReformatLength(C15, "Ft")</f>
        <v>2 Ft 4 1/4</v>
      </c>
      <c r="F15" s="20" t="str">
        <f t="shared" ref="F15:F27" ca="1" si="1">_xlfn.FORMULATEXT(E15)</f>
        <v>=ReformatLength(C15, "Ft")</v>
      </c>
      <c r="G15" s="20" t="s">
        <v>101</v>
      </c>
    </row>
    <row r="16" spans="1:7" outlineLevel="1" x14ac:dyDescent="0.3">
      <c r="B16" s="13">
        <v>10</v>
      </c>
      <c r="C16" s="15">
        <v>4.25</v>
      </c>
      <c r="E16" s="12" t="str" cm="1">
        <f t="array" ref="E16">ReformatLength(C16, "!standard")</f>
        <v>4 1/4 "</v>
      </c>
      <c r="F16" s="11" t="str">
        <f t="shared" ca="1" si="1"/>
        <v>=ReformatLength(C16, "!standard")</v>
      </c>
      <c r="G16" s="11" t="s">
        <v>101</v>
      </c>
    </row>
    <row r="17" spans="1:7" s="17" customFormat="1" outlineLevel="1" x14ac:dyDescent="0.3">
      <c r="B17" s="18">
        <v>11</v>
      </c>
      <c r="C17" s="19" t="s">
        <v>100</v>
      </c>
      <c r="D17" s="19"/>
      <c r="E17" s="19" t="str" cm="1">
        <f t="array" ref="E17">ReformatLength(C17,"!standard")</f>
        <v>4 1/4 "</v>
      </c>
      <c r="F17" s="20" t="str">
        <f t="shared" ca="1" si="1"/>
        <v>=ReformatLength(C17,"!standard")</v>
      </c>
      <c r="G17" s="20" t="s">
        <v>102</v>
      </c>
    </row>
    <row r="18" spans="1:7" ht="43.2" outlineLevel="1" x14ac:dyDescent="0.3">
      <c r="B18" s="13">
        <v>12</v>
      </c>
      <c r="C18" s="16" t="s">
        <v>103</v>
      </c>
      <c r="E18" s="12" t="str" cm="1">
        <f t="array" ref="E18">ReformatLength(C18,"!standard")</f>
        <v>- 2 ' 4 1/4 "</v>
      </c>
      <c r="F18" s="11" t="str">
        <f t="shared" ca="1" si="1"/>
        <v>=ReformatLength(C18,"!standard")</v>
      </c>
      <c r="G18" s="11" t="s">
        <v>104</v>
      </c>
    </row>
    <row r="19" spans="1:7" s="17" customFormat="1" outlineLevel="1" x14ac:dyDescent="0.3">
      <c r="B19" s="18">
        <v>13</v>
      </c>
      <c r="C19" s="19" t="s">
        <v>105</v>
      </c>
      <c r="D19" s="19"/>
      <c r="E19" s="19" t="str" cm="1">
        <f t="array" ref="E19">ReformatLength(C19,"!standard")</f>
        <v>2 ' 4 1/4 "</v>
      </c>
      <c r="F19" s="20" t="str">
        <f t="shared" ca="1" si="1"/>
        <v>=ReformatLength(C19,"!standard")</v>
      </c>
      <c r="G19" s="20" t="s">
        <v>106</v>
      </c>
    </row>
    <row r="20" spans="1:7" ht="28.8" outlineLevel="1" x14ac:dyDescent="0.3">
      <c r="B20" s="13">
        <v>14</v>
      </c>
      <c r="C20" s="12" t="s">
        <v>108</v>
      </c>
      <c r="E20" s="12" t="str" cm="1">
        <f t="array" ref="E20">ReformatLength(C20,"!standard")</f>
        <v>2 ' 4 1/8 "</v>
      </c>
      <c r="F20" s="11" t="str">
        <f t="shared" ca="1" si="1"/>
        <v>=ReformatLength(C20,"!standard")</v>
      </c>
      <c r="G20" s="11" t="s">
        <v>109</v>
      </c>
    </row>
    <row r="21" spans="1:7" s="17" customFormat="1" ht="28.8" outlineLevel="1" x14ac:dyDescent="0.3">
      <c r="B21" s="18">
        <v>15</v>
      </c>
      <c r="C21" s="19" t="s">
        <v>110</v>
      </c>
      <c r="D21" s="19"/>
      <c r="E21" s="19" t="str" cm="1">
        <f t="array" ref="E21">ReformatLength(C21,"!standard")</f>
        <v>2 ' 4 1/4 "</v>
      </c>
      <c r="F21" s="20" t="str">
        <f t="shared" ca="1" si="1"/>
        <v>=ReformatLength(C21,"!standard")</v>
      </c>
      <c r="G21" s="20" t="s">
        <v>111</v>
      </c>
    </row>
    <row r="22" spans="1:7" ht="28.8" outlineLevel="1" x14ac:dyDescent="0.3">
      <c r="B22" s="13">
        <v>16</v>
      </c>
      <c r="C22" s="12" t="s">
        <v>91</v>
      </c>
      <c r="E22" s="12" t="str" cm="1">
        <f t="array" ref="E22">ReformatLength(C22, "ft in /0")</f>
        <v>2 Ft 4.25 In</v>
      </c>
      <c r="F22" s="11" t="str">
        <f t="shared" ca="1" si="1"/>
        <v>=ReformatLength(C22, "ft in /0")</v>
      </c>
      <c r="G22" s="11" t="s">
        <v>112</v>
      </c>
    </row>
    <row r="23" spans="1:7" s="17" customFormat="1" outlineLevel="1" x14ac:dyDescent="0.3">
      <c r="B23" s="18">
        <v>17</v>
      </c>
      <c r="C23" s="19" t="s">
        <v>129</v>
      </c>
      <c r="D23" s="19"/>
      <c r="E23" s="19" t="str" cm="1">
        <f t="array" ref="E23">ReformatLength(C23,"!standard")</f>
        <v>2 ' 4 1/4 "</v>
      </c>
      <c r="F23" s="20" t="str">
        <f t="shared" ca="1" si="1"/>
        <v>=ReformatLength(C23,"!standard")</v>
      </c>
      <c r="G23" s="25" t="s">
        <v>130</v>
      </c>
    </row>
    <row r="24" spans="1:7" ht="28.8" outlineLevel="1" x14ac:dyDescent="0.3">
      <c r="B24" s="13">
        <v>18</v>
      </c>
      <c r="C24" s="12" t="s">
        <v>91</v>
      </c>
      <c r="E24" s="12" t="str" cm="1">
        <f t="array" ref="E24">ReformatLength(C24, "ft. - in. /best")</f>
        <v>2 Ft. -  4 1/4 In.</v>
      </c>
      <c r="F24" s="11" t="str">
        <f t="shared" ca="1" si="1"/>
        <v>=ReformatLength(C24, "ft. - in. /best")</v>
      </c>
      <c r="G24" s="24" t="s">
        <v>131</v>
      </c>
    </row>
    <row r="25" spans="1:7" s="17" customFormat="1" ht="28.8" outlineLevel="1" x14ac:dyDescent="0.3">
      <c r="B25" s="18">
        <v>19</v>
      </c>
      <c r="C25" s="19" t="s">
        <v>91</v>
      </c>
      <c r="D25" s="19"/>
      <c r="E25" s="19" t="str" cm="1">
        <f t="array" ref="E25">ReformatLength(C25," ft. in. - /best")</f>
        <v>2 Ft. 4 - 1/4 In.</v>
      </c>
      <c r="F25" s="20" t="str">
        <f t="shared" ca="1" si="1"/>
        <v>=ReformatLength(C25," ft. in. - /best")</v>
      </c>
      <c r="G25" s="25" t="s">
        <v>132</v>
      </c>
    </row>
    <row r="26" spans="1:7" ht="57.6" outlineLevel="1" x14ac:dyDescent="0.3">
      <c r="B26" s="13">
        <v>20</v>
      </c>
      <c r="C26" s="12" t="s">
        <v>91</v>
      </c>
      <c r="E26" s="12" t="str" cm="1">
        <f t="array" ref="E26">ReformatLength(C26, "SQ - DQ - /best")</f>
        <v>2 ' -  4 - 1/4 "</v>
      </c>
      <c r="F26" s="11" t="str">
        <f t="shared" ca="1" si="1"/>
        <v>=ReformatLength(C26, "SQ - DQ - /best")</v>
      </c>
      <c r="G26" s="24" t="s">
        <v>133</v>
      </c>
    </row>
    <row r="27" spans="1:7" s="17" customFormat="1" ht="28.8" outlineLevel="1" x14ac:dyDescent="0.3">
      <c r="B27" s="18">
        <v>21</v>
      </c>
      <c r="C27" s="19" t="s">
        <v>91</v>
      </c>
      <c r="D27" s="19"/>
      <c r="E27" s="19" t="str" cm="1">
        <f t="array" ref="E27">ReformatLength(C27, "Ft. DQ !standard")</f>
        <v>2 ' 4 1/4 "</v>
      </c>
      <c r="F27" s="11" t="str">
        <f t="shared" ca="1" si="1"/>
        <v>=ReformatLength(C27, "Ft. DQ !standard")</v>
      </c>
      <c r="G27" s="25" t="s">
        <v>134</v>
      </c>
    </row>
    <row r="29" spans="1:7" s="3" customFormat="1" ht="27.6" customHeight="1" x14ac:dyDescent="0.3">
      <c r="A29" s="21" t="s">
        <v>107</v>
      </c>
      <c r="B29" s="22" t="s">
        <v>167</v>
      </c>
      <c r="F29" s="23"/>
      <c r="G29" s="23" t="s">
        <v>120</v>
      </c>
    </row>
    <row r="30" spans="1:7" s="17" customFormat="1" outlineLevel="1" x14ac:dyDescent="0.3">
      <c r="B30" s="18">
        <v>1</v>
      </c>
      <c r="C30" s="19" t="s">
        <v>121</v>
      </c>
      <c r="D30" s="19" t="s">
        <v>122</v>
      </c>
      <c r="E30" s="19" t="str" cm="1">
        <f t="array" ref="E30">Addlengths(C30,D30,"!standard")</f>
        <v>8 ' 7 3/4 "</v>
      </c>
      <c r="F30" s="20" t="str">
        <f t="shared" ref="F30:F45" ca="1" si="2">_xlfn.FORMULATEXT(E30)</f>
        <v>=Addlengths(C30,D30,"!standard")</v>
      </c>
      <c r="G30" s="20" t="s">
        <v>124</v>
      </c>
    </row>
    <row r="31" spans="1:7" ht="43.2" outlineLevel="1" x14ac:dyDescent="0.3">
      <c r="B31" s="13">
        <v>2</v>
      </c>
      <c r="E31" s="12" t="str" cm="1">
        <f t="array" ref="E31">Addlengths( "2' 4 1/2", "6' 3 1/4", "!standard")</f>
        <v>8 ' 7 3/4 "</v>
      </c>
      <c r="F31" s="11" t="str">
        <f t="shared" ca="1" si="2"/>
        <v>=Addlengths( "2' 4 1/2", "6' 3 1/4", "!standard")</v>
      </c>
      <c r="G31" s="11" t="s">
        <v>123</v>
      </c>
    </row>
    <row r="32" spans="1:7" s="17" customFormat="1" outlineLevel="1" x14ac:dyDescent="0.3">
      <c r="B32" s="18">
        <v>3</v>
      </c>
      <c r="C32" s="19" t="s">
        <v>121</v>
      </c>
      <c r="D32" s="19" t="s">
        <v>125</v>
      </c>
      <c r="E32" s="19" t="str" cm="1">
        <f t="array" ref="E32">Addlengths(C32,D32,"!standard")</f>
        <v xml:space="preserve">5 ' </v>
      </c>
      <c r="F32" s="20" t="str">
        <f t="shared" ca="1" si="2"/>
        <v>=Addlengths(C32,D32,"!standard")</v>
      </c>
      <c r="G32" s="20" t="s">
        <v>126</v>
      </c>
    </row>
    <row r="33" spans="2:7" ht="43.2" outlineLevel="1" x14ac:dyDescent="0.3">
      <c r="B33" s="13">
        <v>4</v>
      </c>
      <c r="C33" s="12" t="s">
        <v>121</v>
      </c>
      <c r="D33" s="12" t="s">
        <v>127</v>
      </c>
      <c r="E33" s="12" t="str" cm="1">
        <f t="array" ref="E33">Addlengths(C33,D33,"!standard")</f>
        <v>5 ' 1 1/4 "</v>
      </c>
      <c r="F33" s="11" t="str">
        <f t="shared" ca="1" si="2"/>
        <v>=Addlengths(C33,D33,"!standard")</v>
      </c>
      <c r="G33" s="11" t="s">
        <v>135</v>
      </c>
    </row>
    <row r="34" spans="2:7" s="17" customFormat="1" outlineLevel="1" x14ac:dyDescent="0.3">
      <c r="B34" s="18">
        <v>5</v>
      </c>
      <c r="C34" s="19" t="s">
        <v>121</v>
      </c>
      <c r="D34" s="26" t="s">
        <v>128</v>
      </c>
      <c r="E34" s="19" t="str" cm="1">
        <f t="array" ref="E34">Addlengths(C34,D34,"!standard")</f>
        <v>3 "</v>
      </c>
      <c r="F34" s="20" t="str">
        <f t="shared" ca="1" si="2"/>
        <v>=Addlengths(C34,D34,"!standard")</v>
      </c>
      <c r="G34" s="20" t="s">
        <v>136</v>
      </c>
    </row>
    <row r="35" spans="2:7" ht="28.8" outlineLevel="1" x14ac:dyDescent="0.3">
      <c r="B35" s="13">
        <v>6</v>
      </c>
      <c r="C35" s="12" t="s">
        <v>121</v>
      </c>
      <c r="D35" s="12" t="s">
        <v>128</v>
      </c>
      <c r="E35" s="12" t="str" cm="1">
        <f t="array" ref="E35">Addlengths(C35,D35)</f>
        <v>3 "</v>
      </c>
      <c r="F35" s="11" t="str">
        <f t="shared" ca="1" si="2"/>
        <v>=Addlengths(C35,D35)</v>
      </c>
      <c r="G35" s="11" t="s">
        <v>137</v>
      </c>
    </row>
    <row r="36" spans="2:7" s="17" customFormat="1" outlineLevel="1" x14ac:dyDescent="0.3">
      <c r="B36" s="18">
        <v>7</v>
      </c>
      <c r="C36" s="19" t="s">
        <v>140</v>
      </c>
      <c r="D36" s="19" t="s">
        <v>141</v>
      </c>
      <c r="E36" s="19" t="str" cm="1">
        <f t="array" ref="E36">Addlengths(C36,D36, "!standard")</f>
        <v>5 ' 7 1/4 "</v>
      </c>
      <c r="F36" s="20" t="str">
        <f t="shared" ca="1" si="2"/>
        <v>=Addlengths(C36,D36, "!standard")</v>
      </c>
      <c r="G36" s="20" t="s">
        <v>142</v>
      </c>
    </row>
    <row r="37" spans="2:7" outlineLevel="1" x14ac:dyDescent="0.3">
      <c r="B37" s="13">
        <v>8</v>
      </c>
      <c r="C37" s="12" t="s">
        <v>143</v>
      </c>
      <c r="D37" s="12" t="s">
        <v>144</v>
      </c>
      <c r="E37" s="12" t="str" cm="1">
        <f t="array" ref="E37">Addlengths(C37,D37, "!standard")</f>
        <v>11 ' 9 3/4 "</v>
      </c>
      <c r="F37" s="11" t="str">
        <f t="shared" ca="1" si="2"/>
        <v>=Addlengths(C37,D37, "!standard")</v>
      </c>
      <c r="G37" s="11" t="s">
        <v>145</v>
      </c>
    </row>
    <row r="38" spans="2:7" s="17" customFormat="1" ht="28.8" outlineLevel="1" x14ac:dyDescent="0.3">
      <c r="B38" s="18">
        <v>9</v>
      </c>
      <c r="C38" s="19" t="s">
        <v>146</v>
      </c>
      <c r="D38" s="26" t="s">
        <v>147</v>
      </c>
      <c r="E38" s="19" t="str" cm="1">
        <f t="array" ref="E38">Addlengths(C38,D38, "!standard")</f>
        <v/>
      </c>
      <c r="F38" s="20" t="str">
        <f t="shared" ca="1" si="2"/>
        <v>=Addlengths(C38,D38, "!standard")</v>
      </c>
      <c r="G38" s="20" t="s">
        <v>148</v>
      </c>
    </row>
    <row r="39" spans="2:7" outlineLevel="1" x14ac:dyDescent="0.3">
      <c r="B39" s="13">
        <v>10</v>
      </c>
      <c r="C39" s="12" t="s">
        <v>140</v>
      </c>
      <c r="D39" s="16" t="s">
        <v>149</v>
      </c>
      <c r="E39" s="12" t="str" cm="1">
        <f t="array" ref="E39">Addlengths(C39,D39, "!standard")</f>
        <v>- 4 ' 10 3/4 "</v>
      </c>
      <c r="F39" s="11" t="str">
        <f t="shared" ca="1" si="2"/>
        <v>=Addlengths(C39,D39, "!standard")</v>
      </c>
      <c r="G39" s="11" t="s">
        <v>150</v>
      </c>
    </row>
    <row r="40" spans="2:7" s="17" customFormat="1" outlineLevel="1" x14ac:dyDescent="0.3">
      <c r="B40" s="18">
        <v>11</v>
      </c>
      <c r="C40" s="28" t="s">
        <v>146</v>
      </c>
      <c r="D40" s="26" t="s">
        <v>151</v>
      </c>
      <c r="E40" s="19" t="str" cm="1">
        <f t="array" ref="E40">Addlengths(C40,D40, "!standard")</f>
        <v>5 ' 0 1/64 "</v>
      </c>
      <c r="F40" s="20" t="str">
        <f t="shared" ca="1" si="2"/>
        <v>=Addlengths(C40,D40, "!standard")</v>
      </c>
      <c r="G40" s="20" t="s">
        <v>152</v>
      </c>
    </row>
    <row r="41" spans="2:7" outlineLevel="1" x14ac:dyDescent="0.3">
      <c r="B41" s="13">
        <v>12</v>
      </c>
      <c r="C41" s="27">
        <v>24</v>
      </c>
      <c r="D41" s="27">
        <v>12</v>
      </c>
      <c r="E41" s="27" t="str" cm="1">
        <f t="array" ref="E41">Addlengths(C41,D41, "!standard")</f>
        <v xml:space="preserve">3 ' </v>
      </c>
      <c r="F41" s="11" t="str">
        <f t="shared" ca="1" si="2"/>
        <v>=Addlengths(C41,D41, "!standard")</v>
      </c>
      <c r="G41" s="11" t="s">
        <v>153</v>
      </c>
    </row>
    <row r="42" spans="2:7" s="17" customFormat="1" outlineLevel="1" x14ac:dyDescent="0.3">
      <c r="B42" s="18">
        <v>13</v>
      </c>
      <c r="C42" s="19" t="s">
        <v>154</v>
      </c>
      <c r="D42" s="26" t="s">
        <v>155</v>
      </c>
      <c r="E42" s="28" t="str" cm="1">
        <f t="array" ref="E42">Addlengths(C42,D42, "!standard")</f>
        <v>9999 ' 0 1/64 "</v>
      </c>
      <c r="F42" s="20" t="str">
        <f t="shared" ca="1" si="2"/>
        <v>=Addlengths(C42,D42, "!standard")</v>
      </c>
      <c r="G42" s="20" t="s">
        <v>156</v>
      </c>
    </row>
    <row r="43" spans="2:7" outlineLevel="1" x14ac:dyDescent="0.3">
      <c r="B43" s="13" t="s">
        <v>157</v>
      </c>
      <c r="C43" s="12" t="s">
        <v>158</v>
      </c>
      <c r="D43" s="12" t="s">
        <v>83</v>
      </c>
      <c r="E43" s="12" t="str" cm="1">
        <f t="array" ref="E43">Addlengths(C43,D43, "ft. in. /8 !save")</f>
        <v>56 Ft. 9 In.</v>
      </c>
      <c r="F43" s="11" t="str">
        <f t="shared" ca="1" si="2"/>
        <v>=Addlengths(C43,D43, "ft. in. /8 !save")</v>
      </c>
      <c r="G43" s="11" t="s">
        <v>159</v>
      </c>
    </row>
    <row r="44" spans="2:7" outlineLevel="1" x14ac:dyDescent="0.3">
      <c r="B44" s="13" t="s">
        <v>160</v>
      </c>
      <c r="C44" s="12" t="s">
        <v>161</v>
      </c>
      <c r="D44" s="12" t="s">
        <v>162</v>
      </c>
      <c r="E44" s="12" t="str" cm="1">
        <f t="array" ref="E44">Addlengths(C44,D44,"!standard")</f>
        <v>23 ' 3 "</v>
      </c>
      <c r="F44" s="11" t="str">
        <f t="shared" ca="1" si="2"/>
        <v>=Addlengths(C44,D44,"!standard")</v>
      </c>
      <c r="G44" s="11" t="s">
        <v>163</v>
      </c>
    </row>
    <row r="45" spans="2:7" outlineLevel="1" x14ac:dyDescent="0.3">
      <c r="B45" s="13" t="s">
        <v>165</v>
      </c>
      <c r="C45" s="12" t="s">
        <v>158</v>
      </c>
      <c r="D45" s="12" t="s">
        <v>83</v>
      </c>
      <c r="E45" s="12" t="str" cm="1">
        <f t="array" ref="E45">Addlengths(C45,D45,"!reuse")</f>
        <v>56 9</v>
      </c>
      <c r="F45" s="11" t="str">
        <f t="shared" ca="1" si="2"/>
        <v>=Addlengths(C45,D45,"!reuse")</v>
      </c>
      <c r="G45" s="11" t="s">
        <v>164</v>
      </c>
    </row>
    <row r="46" spans="2:7" outlineLevel="1" x14ac:dyDescent="0.3"/>
    <row r="49" spans="1:7" ht="43.2" x14ac:dyDescent="0.3">
      <c r="A49" s="21" t="s">
        <v>197</v>
      </c>
      <c r="B49" s="22" t="s">
        <v>198</v>
      </c>
      <c r="G49" s="23" t="s">
        <v>199</v>
      </c>
    </row>
    <row r="50" spans="1:7" outlineLevel="1" x14ac:dyDescent="0.3"/>
    <row r="51" spans="1:7" s="17" customFormat="1" outlineLevel="1" x14ac:dyDescent="0.3">
      <c r="B51" s="18">
        <v>1</v>
      </c>
      <c r="C51" s="29" t="s">
        <v>200</v>
      </c>
      <c r="D51" s="29" t="s">
        <v>200</v>
      </c>
      <c r="E51" s="19"/>
      <c r="F51" s="20"/>
      <c r="G51" s="20"/>
    </row>
    <row r="52" spans="1:7" s="17" customFormat="1" ht="28.8" outlineLevel="1" x14ac:dyDescent="0.3">
      <c r="B52" s="18">
        <v>1</v>
      </c>
      <c r="C52" s="29" t="s">
        <v>200</v>
      </c>
      <c r="D52" s="29" t="s">
        <v>200</v>
      </c>
      <c r="E52" s="19" t="str" cm="1">
        <f t="array" ref="E52">AddNamedRange( "Range1", "!standard")</f>
        <v>5 ' 5 "</v>
      </c>
      <c r="F52" s="20" t="str">
        <f t="shared" ref="F52:F53" ca="1" si="3">_xlfn.FORMULATEXT(E52)</f>
        <v>=AddNamedRange( "Range1", "!standard")</v>
      </c>
      <c r="G52" s="20" t="s">
        <v>201</v>
      </c>
    </row>
    <row r="53" spans="1:7" ht="43.2" outlineLevel="1" x14ac:dyDescent="0.3">
      <c r="B53" s="13">
        <v>2</v>
      </c>
      <c r="E53" s="11" t="str" cm="1">
        <f t="array" ref="E53">AddNamedRange("Range99","!standard")</f>
        <v>Error: Named range 'Range99' does not exist.</v>
      </c>
      <c r="F53" s="11" t="str">
        <f t="shared" ca="1" si="3"/>
        <v>=AddNamedRange("Range99","!standard")</v>
      </c>
      <c r="G53" s="11" t="s">
        <v>202</v>
      </c>
    </row>
    <row r="54" spans="1:7" s="17" customFormat="1" outlineLevel="1" x14ac:dyDescent="0.3">
      <c r="B54" s="18">
        <v>3</v>
      </c>
      <c r="C54" s="30" t="s">
        <v>203</v>
      </c>
      <c r="D54" s="30" t="s">
        <v>203</v>
      </c>
    </row>
    <row r="55" spans="1:7" s="17" customFormat="1" outlineLevel="1" x14ac:dyDescent="0.3">
      <c r="B55" s="28">
        <v>3</v>
      </c>
      <c r="C55" s="30" t="s">
        <v>203</v>
      </c>
      <c r="D55" s="30" t="s">
        <v>204</v>
      </c>
      <c r="E55" s="19" t="str" cm="1">
        <f t="array" ref="E55">AddNamedRange("Range2", "!standard")</f>
        <v>1 ' 9 3/4 "</v>
      </c>
      <c r="F55" s="19" t="str">
        <f ca="1">_xlfn.FORMULATEXT(E55)</f>
        <v>=AddNamedRange("Range2", "!standard")</v>
      </c>
      <c r="G55" s="19" t="s">
        <v>205</v>
      </c>
    </row>
    <row r="56" spans="1:7" outlineLevel="1" x14ac:dyDescent="0.3">
      <c r="B56" s="13">
        <v>4</v>
      </c>
      <c r="C56" s="31" t="s">
        <v>208</v>
      </c>
      <c r="D56" s="31" t="s">
        <v>209</v>
      </c>
    </row>
    <row r="57" spans="1:7" outlineLevel="1" x14ac:dyDescent="0.3">
      <c r="B57" s="13">
        <v>4</v>
      </c>
      <c r="C57" s="32" t="s">
        <v>206</v>
      </c>
    </row>
    <row r="58" spans="1:7" s="2" customFormat="1" ht="43.2" outlineLevel="1" x14ac:dyDescent="0.3">
      <c r="B58" s="13">
        <v>4</v>
      </c>
      <c r="C58" s="33" t="s">
        <v>207</v>
      </c>
      <c r="D58" s="11"/>
      <c r="E58" s="11" t="str" cm="1">
        <f t="array" ref="E58">AddNamedRange("Range3", "!standard")</f>
        <v>3 ' 9 1/4 "</v>
      </c>
      <c r="F58" s="11" t="str">
        <f t="shared" ref="F58" ca="1" si="4">_xlfn.FORMULATEXT(E58)</f>
        <v>=AddNamedRange("Range3", "!standard")</v>
      </c>
      <c r="G58" s="11" t="s">
        <v>210</v>
      </c>
    </row>
    <row r="59" spans="1:7" outlineLevel="1" x14ac:dyDescent="0.3"/>
    <row r="60" spans="1:7" outlineLevel="1" x14ac:dyDescent="0.3"/>
    <row r="63" spans="1:7" ht="28.8" x14ac:dyDescent="0.3">
      <c r="A63" s="21" t="s">
        <v>138</v>
      </c>
      <c r="B63" s="22" t="s">
        <v>166</v>
      </c>
      <c r="G63" s="23" t="s">
        <v>139</v>
      </c>
    </row>
    <row r="64" spans="1:7" outlineLevel="1" x14ac:dyDescent="0.3">
      <c r="B64" s="13">
        <v>1</v>
      </c>
      <c r="C64" s="12" t="s">
        <v>168</v>
      </c>
      <c r="D64" s="12" t="s">
        <v>169</v>
      </c>
      <c r="E64" s="12" t="str" cm="1">
        <f t="array" ref="E64">subtractlengths(C64,D64,"!standard")</f>
        <v>7 ' 0 1/4 "</v>
      </c>
      <c r="F64" s="11" t="str">
        <f t="shared" ref="F64:F67" ca="1" si="5">_xlfn.FORMULATEXT(E64)</f>
        <v>=subtractlengths(C64,D64,"!standard")</v>
      </c>
      <c r="G64" s="11" t="s">
        <v>170</v>
      </c>
    </row>
    <row r="65" spans="1:7" s="17" customFormat="1" ht="28.8" outlineLevel="1" x14ac:dyDescent="0.3">
      <c r="B65" s="18">
        <v>2</v>
      </c>
      <c r="C65" s="19" t="s">
        <v>168</v>
      </c>
      <c r="D65" s="26" t="s">
        <v>171</v>
      </c>
      <c r="E65" s="19" t="str" cm="1">
        <f t="array" ref="E65">subtractlengths(C65,D65,"!standard")</f>
        <v>14 ' 0 3/4 "</v>
      </c>
      <c r="F65" s="20" t="str">
        <f t="shared" ca="1" si="5"/>
        <v>=subtractlengths(C65,D65,"!standard")</v>
      </c>
      <c r="G65" s="20" t="s">
        <v>172</v>
      </c>
    </row>
    <row r="66" spans="1:7" outlineLevel="1" x14ac:dyDescent="0.3">
      <c r="B66" s="13">
        <v>3</v>
      </c>
      <c r="C66" s="12" t="s">
        <v>168</v>
      </c>
      <c r="D66" s="12" t="s">
        <v>173</v>
      </c>
      <c r="E66" s="12" t="str" cm="1">
        <f t="array" ref="E66">subtractlengths(C66,D66,"!standard")</f>
        <v>- 7 ' 9 5/8 "</v>
      </c>
      <c r="F66" s="11" t="str">
        <f t="shared" ca="1" si="5"/>
        <v>=subtractlengths(C66,D66,"!standard")</v>
      </c>
      <c r="G66" s="11" t="s">
        <v>150</v>
      </c>
    </row>
    <row r="67" spans="1:7" s="17" customFormat="1" outlineLevel="1" x14ac:dyDescent="0.3">
      <c r="B67" s="18" t="s">
        <v>176</v>
      </c>
      <c r="C67" s="19" t="s">
        <v>168</v>
      </c>
      <c r="D67" s="19" t="s">
        <v>1</v>
      </c>
      <c r="E67" s="19" t="str" cm="1">
        <f t="array" ref="E67">subtractlengths(C67,D67, "ft. in. /best" )</f>
        <v>10 Ft. 4 1/4 In.</v>
      </c>
      <c r="F67" s="20" t="str">
        <f t="shared" ca="1" si="5"/>
        <v>=subtractlengths(C67,D67, "ft. in. /best" )</v>
      </c>
      <c r="G67" s="20" t="s">
        <v>174</v>
      </c>
    </row>
    <row r="68" spans="1:7" s="17" customFormat="1" ht="28.8" outlineLevel="1" x14ac:dyDescent="0.3">
      <c r="B68" s="18" t="s">
        <v>177</v>
      </c>
      <c r="C68" s="19" t="s">
        <v>168</v>
      </c>
      <c r="D68" s="19" t="s">
        <v>1</v>
      </c>
      <c r="E68" s="19" t="str" cm="1">
        <f t="array" ref="E68">subtractlengths(C68,D68, " !last" )</f>
        <v>10 ' 4 1/4 "</v>
      </c>
      <c r="F68" s="20" t="str">
        <f t="shared" ref="F68:F71" ca="1" si="6">_xlfn.FORMULATEXT(E68)</f>
        <v>=subtractlengths(C68,D68, " !last" )</v>
      </c>
      <c r="G68" s="20" t="s">
        <v>175</v>
      </c>
    </row>
    <row r="69" spans="1:7" outlineLevel="1" x14ac:dyDescent="0.3">
      <c r="B69" s="13">
        <v>5</v>
      </c>
      <c r="C69" s="12" t="s">
        <v>168</v>
      </c>
      <c r="D69" s="12" t="s">
        <v>178</v>
      </c>
      <c r="E69" s="12" t="str" cm="1">
        <f t="array" ref="E69">subtractlengths(C69,D69, " !last" )</f>
        <v>10 Ft. 6 1/2 In.</v>
      </c>
      <c r="F69" s="11" t="str">
        <f t="shared" ca="1" si="6"/>
        <v>=subtractlengths(C69,D69, " !last" )</v>
      </c>
      <c r="G69" s="11" t="s">
        <v>179</v>
      </c>
    </row>
    <row r="70" spans="1:7" s="17" customFormat="1" outlineLevel="1" x14ac:dyDescent="0.3">
      <c r="B70" s="18">
        <v>6</v>
      </c>
      <c r="C70" s="19" t="s">
        <v>178</v>
      </c>
      <c r="D70" s="19" t="s">
        <v>180</v>
      </c>
      <c r="E70" s="19" t="str" cm="1">
        <f t="array" ref="E70">subtractlengths(C70,D70, "!standard")</f>
        <v>- 2 ' 1 1/4 "</v>
      </c>
      <c r="F70" s="20" t="str">
        <f t="shared" ca="1" si="6"/>
        <v>=subtractlengths(C70,D70, "!standard")</v>
      </c>
      <c r="G70" s="20" t="s">
        <v>179</v>
      </c>
    </row>
    <row r="71" spans="1:7" outlineLevel="1" x14ac:dyDescent="0.3">
      <c r="B71" s="13">
        <v>7</v>
      </c>
      <c r="C71" s="12" t="s">
        <v>181</v>
      </c>
      <c r="D71" s="12" t="s">
        <v>182</v>
      </c>
      <c r="E71" s="12" t="str" cm="1">
        <f t="array" ref="E71">subtractlengths(C71,D71, "!standard")</f>
        <v>4 ' 0 1/2 "</v>
      </c>
      <c r="F71" s="11" t="str">
        <f t="shared" ca="1" si="6"/>
        <v>=subtractlengths(C71,D71, "!standard")</v>
      </c>
      <c r="G71" s="11" t="s">
        <v>183</v>
      </c>
    </row>
    <row r="72" spans="1:7" s="17" customFormat="1" outlineLevel="1" x14ac:dyDescent="0.3">
      <c r="B72" s="18">
        <v>8</v>
      </c>
      <c r="C72" s="19" t="s">
        <v>184</v>
      </c>
      <c r="D72" s="26" t="s">
        <v>155</v>
      </c>
      <c r="E72" s="19" t="str" cm="1">
        <f t="array" ref="E72">subtractlengths(C72,D72, "!standard")</f>
        <v>999 ' 11 63/64 "</v>
      </c>
      <c r="F72" s="20" t="str">
        <f t="shared" ref="F72" ca="1" si="7">_xlfn.FORMULATEXT(E72)</f>
        <v>=subtractlengths(C72,D72, "!standard")</v>
      </c>
      <c r="G72" s="20" t="s">
        <v>185</v>
      </c>
    </row>
    <row r="73" spans="1:7" outlineLevel="1" x14ac:dyDescent="0.3"/>
    <row r="74" spans="1:7" outlineLevel="1" x14ac:dyDescent="0.3"/>
    <row r="76" spans="1:7" ht="28.8" x14ac:dyDescent="0.3">
      <c r="A76" s="21" t="s">
        <v>211</v>
      </c>
      <c r="B76" s="22" t="s">
        <v>213</v>
      </c>
      <c r="G76" s="23" t="s">
        <v>186</v>
      </c>
    </row>
    <row r="77" spans="1:7" s="17" customFormat="1" outlineLevel="1" x14ac:dyDescent="0.3">
      <c r="B77" s="18">
        <v>1</v>
      </c>
      <c r="C77" s="19" t="s">
        <v>187</v>
      </c>
      <c r="D77" s="19" t="s">
        <v>188</v>
      </c>
      <c r="E77" s="28" cm="1">
        <f t="array" ref="E77">DivideLengths(C77,D77)</f>
        <v>3</v>
      </c>
      <c r="F77" s="20" t="str">
        <f t="shared" ref="F77" ca="1" si="8">_xlfn.FORMULATEXT(E77)</f>
        <v>=DivideLengths(C77,D77)</v>
      </c>
      <c r="G77" s="20" t="s">
        <v>189</v>
      </c>
    </row>
    <row r="78" spans="1:7" ht="28.8" outlineLevel="1" x14ac:dyDescent="0.3">
      <c r="B78" s="13">
        <v>2</v>
      </c>
      <c r="C78" s="12" t="s">
        <v>187</v>
      </c>
      <c r="D78" s="16" t="s">
        <v>190</v>
      </c>
      <c r="E78" s="27" cm="1">
        <f t="array" ref="E78">DivideLengths(C78,D78)</f>
        <v>-3</v>
      </c>
      <c r="F78" s="11" t="str">
        <f ca="1">_xlfn.FORMULATEXT(E78)</f>
        <v>=DivideLengths(C78,D78)</v>
      </c>
      <c r="G78" s="11" t="s">
        <v>191</v>
      </c>
    </row>
    <row r="79" spans="1:7" s="17" customFormat="1" outlineLevel="1" x14ac:dyDescent="0.3">
      <c r="B79" s="18">
        <v>3</v>
      </c>
      <c r="C79" s="19" t="s">
        <v>187</v>
      </c>
      <c r="D79" s="19" t="s">
        <v>178</v>
      </c>
      <c r="E79" s="28" t="str" cm="1">
        <f t="array" ref="E79">DivideLengths(C79,D79)</f>
        <v>Cannot divide by zero</v>
      </c>
      <c r="F79" s="20" t="str">
        <f ca="1">_xlfn.FORMULATEXT(E79)</f>
        <v>=DivideLengths(C79,D79)</v>
      </c>
      <c r="G79" s="20" t="s">
        <v>192</v>
      </c>
    </row>
    <row r="80" spans="1:7" outlineLevel="1" x14ac:dyDescent="0.3">
      <c r="B80" s="13">
        <v>4</v>
      </c>
      <c r="C80" s="12" t="s">
        <v>178</v>
      </c>
      <c r="D80" s="12" t="s">
        <v>187</v>
      </c>
      <c r="E80" s="27" cm="1">
        <f t="array" ref="E80">DivideLengths(C80,D80)</f>
        <v>0</v>
      </c>
      <c r="F80" s="11" t="str">
        <f ca="1">_xlfn.FORMULATEXT(E80)</f>
        <v>=DivideLengths(C80,D80)</v>
      </c>
      <c r="G80" s="11" t="s">
        <v>193</v>
      </c>
    </row>
    <row r="81" spans="1:7" s="17" customFormat="1" outlineLevel="1" x14ac:dyDescent="0.3">
      <c r="B81" s="18">
        <v>5</v>
      </c>
      <c r="C81" s="19" t="s">
        <v>0</v>
      </c>
      <c r="D81" s="19" t="s">
        <v>194</v>
      </c>
      <c r="E81" s="28" cm="1">
        <f t="array" ref="E81">DivideLengths(C81,D81)</f>
        <v>7.333333333333333</v>
      </c>
      <c r="F81" s="20" t="str">
        <f ca="1">_xlfn.FORMULATEXT(E81)</f>
        <v>=DivideLengths(C81,D81)</v>
      </c>
      <c r="G81" s="20" t="s">
        <v>195</v>
      </c>
    </row>
    <row r="82" spans="1:7" ht="28.8" outlineLevel="1" x14ac:dyDescent="0.3">
      <c r="B82" s="13">
        <v>6</v>
      </c>
      <c r="C82" s="12" t="s">
        <v>0</v>
      </c>
      <c r="D82" s="12" t="s">
        <v>194</v>
      </c>
      <c r="E82" s="12" cm="1">
        <f t="array" ref="E82">DivideLengths( C82, Addlengths(D82,"1/8 inch", "!standard"))</f>
        <v>6.2857142857142856</v>
      </c>
      <c r="F82" s="11" t="str">
        <f ca="1">_xlfn.FORMULATEXT(E82)</f>
        <v>=DivideLengths( C82, Addlengths(D82,"1/8 inch", "!standard"))</v>
      </c>
      <c r="G82" s="11" t="s">
        <v>196</v>
      </c>
    </row>
    <row r="85" spans="1:7" ht="28.8" x14ac:dyDescent="0.3">
      <c r="A85" s="21" t="s">
        <v>212</v>
      </c>
      <c r="B85" s="22" t="s">
        <v>214</v>
      </c>
      <c r="G85" s="23" t="s">
        <v>215</v>
      </c>
    </row>
    <row r="86" spans="1:7" s="34" customFormat="1" ht="28.8" outlineLevel="2" x14ac:dyDescent="0.3">
      <c r="B86" s="18">
        <v>1</v>
      </c>
      <c r="C86" s="20" t="s">
        <v>216</v>
      </c>
      <c r="D86" s="18">
        <v>3</v>
      </c>
      <c r="E86" s="20" t="str" cm="1">
        <f t="array" ref="E86">DivideLength(C86,D86,"ft. in. /best")</f>
        <v>1 Ft. 1 1/4 In.</v>
      </c>
      <c r="F86" s="20" t="str">
        <f t="shared" ref="F86" ca="1" si="9">_xlfn.FORMULATEXT(E86)</f>
        <v>=DivideLength(C86,D86,"ft. in. /best")</v>
      </c>
      <c r="G86" s="20" t="s">
        <v>217</v>
      </c>
    </row>
    <row r="87" spans="1:7" outlineLevel="2" x14ac:dyDescent="0.3">
      <c r="B87" s="13">
        <v>2</v>
      </c>
      <c r="C87" s="12" t="s">
        <v>218</v>
      </c>
      <c r="D87" s="27">
        <v>3</v>
      </c>
      <c r="E87" s="11" t="str" cm="1">
        <f t="array" ref="E87">DivideLength(C87,D87,"ft. in. /best")</f>
        <v>1 Ft. 1 1/4 In.</v>
      </c>
      <c r="F87" s="11" t="str">
        <f t="shared" ref="F87" ca="1" si="10">_xlfn.FORMULATEXT(E87)</f>
        <v>=DivideLength(C87,D87,"ft. in. /best")</v>
      </c>
      <c r="G87" s="11" t="s">
        <v>219</v>
      </c>
    </row>
    <row r="88" spans="1:7" s="17" customFormat="1" ht="43.2" outlineLevel="2" x14ac:dyDescent="0.3">
      <c r="B88" s="18">
        <v>3</v>
      </c>
      <c r="C88" s="26" t="s">
        <v>220</v>
      </c>
      <c r="D88" s="28">
        <v>-3</v>
      </c>
      <c r="E88" s="20" t="str" cm="1">
        <f t="array" ref="E88">DivideLength(C88,D88,"ft. in. /best")</f>
        <v>1 Ft. 1 1/4 In.</v>
      </c>
      <c r="F88" s="20" t="str">
        <f t="shared" ref="F88:F90" ca="1" si="11">_xlfn.FORMULATEXT(E88)</f>
        <v>=DivideLength(C88,D88,"ft. in. /best")</v>
      </c>
      <c r="G88" s="20" t="s">
        <v>221</v>
      </c>
    </row>
    <row r="89" spans="1:7" ht="28.8" outlineLevel="2" x14ac:dyDescent="0.3">
      <c r="B89" s="13">
        <v>4</v>
      </c>
      <c r="C89" s="12" t="s">
        <v>222</v>
      </c>
      <c r="D89" s="27">
        <v>0</v>
      </c>
      <c r="E89" s="11" t="str" cm="1">
        <f t="array" ref="E89">DivideLength(C89,D89,"ft. in. /best")</f>
        <v>ERROR - division by zero</v>
      </c>
      <c r="F89" s="11" t="str">
        <f t="shared" ca="1" si="11"/>
        <v>=DivideLength(C89,D89,"ft. in. /best")</v>
      </c>
      <c r="G89" s="11" t="s">
        <v>223</v>
      </c>
    </row>
    <row r="90" spans="1:7" s="17" customFormat="1" outlineLevel="2" x14ac:dyDescent="0.3">
      <c r="B90" s="18">
        <v>5</v>
      </c>
      <c r="C90" s="19" t="s">
        <v>222</v>
      </c>
      <c r="D90" s="28">
        <v>1</v>
      </c>
      <c r="E90" s="20" t="str" cm="1">
        <f t="array" ref="E90">DivideLength(C90,D90,"ft. in. /best")</f>
        <v>3 Ft. 3 3/4 In.</v>
      </c>
      <c r="F90" s="20" t="str">
        <f t="shared" ca="1" si="11"/>
        <v>=DivideLength(C90,D90,"ft. in. /best")</v>
      </c>
      <c r="G90" s="20" t="s">
        <v>224</v>
      </c>
    </row>
    <row r="91" spans="1:7" ht="28.8" outlineLevel="2" x14ac:dyDescent="0.3">
      <c r="B91" s="13">
        <v>6</v>
      </c>
      <c r="C91" s="12" t="s">
        <v>225</v>
      </c>
      <c r="D91" s="12">
        <v>6</v>
      </c>
      <c r="E91" s="11" t="str" cm="1">
        <f t="array" ref="E91">DivideLength(C91,D91,"ft. in. /best")</f>
        <v>4 Ft. 9 2.7/64 In.</v>
      </c>
      <c r="F91" s="11" t="str">
        <f t="shared" ref="F91" ca="1" si="12">_xlfn.FORMULATEXT(E91)</f>
        <v>=DivideLength(C91,D91,"ft. in. /best")</v>
      </c>
      <c r="G91" s="11" t="s">
        <v>226</v>
      </c>
    </row>
    <row r="93" spans="1:7" ht="43.2" outlineLevel="1" x14ac:dyDescent="0.3">
      <c r="A93" s="21" t="s">
        <v>227</v>
      </c>
      <c r="B93" s="22" t="s">
        <v>235</v>
      </c>
      <c r="G93" s="23" t="s">
        <v>228</v>
      </c>
    </row>
    <row r="94" spans="1:7" s="17" customFormat="1" outlineLevel="1" x14ac:dyDescent="0.3">
      <c r="B94" s="18">
        <v>1</v>
      </c>
      <c r="C94" s="19" t="s">
        <v>229</v>
      </c>
      <c r="D94" s="28">
        <v>2</v>
      </c>
      <c r="E94" s="19" t="str" cm="1">
        <f t="array" ref="E94">ScaleLength(C94,D94, "!standard")</f>
        <v>12 ' 8 1/4 "</v>
      </c>
      <c r="F94" s="20" t="str">
        <f t="shared" ref="F94:F97" ca="1" si="13">_xlfn.FORMULATEXT(E94)</f>
        <v>=ScaleLength(C94,D94, "!standard")</v>
      </c>
      <c r="G94" s="20" t="s">
        <v>230</v>
      </c>
    </row>
    <row r="95" spans="1:7" ht="28.8" outlineLevel="1" x14ac:dyDescent="0.3">
      <c r="B95" s="13">
        <v>2</v>
      </c>
      <c r="C95" s="12" t="s">
        <v>229</v>
      </c>
      <c r="D95" s="35">
        <v>0.5</v>
      </c>
      <c r="E95" s="12" t="str" cm="1">
        <f t="array" ref="E95">ScaleLength(C95,D95, "!standard")</f>
        <v>3 ' 2 1/16 "</v>
      </c>
      <c r="F95" s="11" t="str">
        <f t="shared" ca="1" si="13"/>
        <v>=ScaleLength(C95,D95, "!standard")</v>
      </c>
      <c r="G95" s="11" t="s">
        <v>231</v>
      </c>
    </row>
    <row r="96" spans="1:7" s="17" customFormat="1" outlineLevel="1" x14ac:dyDescent="0.3">
      <c r="B96" s="18">
        <v>3</v>
      </c>
      <c r="C96" s="19" t="s">
        <v>229</v>
      </c>
      <c r="D96" s="28">
        <v>0</v>
      </c>
      <c r="E96" s="19" t="str" cm="1">
        <f t="array" ref="E96">ScaleLength(C96,D96, "!standard")</f>
        <v/>
      </c>
      <c r="F96" s="20" t="str">
        <f t="shared" ca="1" si="13"/>
        <v>=ScaleLength(C96,D96, "!standard")</v>
      </c>
      <c r="G96" s="20" t="s">
        <v>232</v>
      </c>
    </row>
    <row r="97" spans="1:7" outlineLevel="1" x14ac:dyDescent="0.3">
      <c r="B97" s="13">
        <v>4</v>
      </c>
      <c r="C97" s="12" t="s">
        <v>233</v>
      </c>
      <c r="D97" s="27">
        <v>2.5</v>
      </c>
      <c r="E97" s="12" t="str" cm="1">
        <f t="array" ref="E97">ScaleLength(C97,D97, "!standard")</f>
        <v>11 1/8 "</v>
      </c>
      <c r="F97" s="11" t="str">
        <f t="shared" ca="1" si="13"/>
        <v>=ScaleLength(C97,D97, "!standard")</v>
      </c>
      <c r="G97" s="11" t="s">
        <v>234</v>
      </c>
    </row>
    <row r="98" spans="1:7" s="17" customFormat="1" outlineLevel="1" x14ac:dyDescent="0.3">
      <c r="B98" s="18">
        <v>5</v>
      </c>
      <c r="C98" s="19" t="s">
        <v>233</v>
      </c>
      <c r="D98" s="28">
        <v>2.5</v>
      </c>
      <c r="E98" s="19" t="str" cm="1">
        <f t="array" ref="E98">ScaleLength(C98,D98, "ft. in. /0")</f>
        <v>11.125 In.</v>
      </c>
      <c r="F98" s="20" t="str">
        <f t="shared" ref="F98" ca="1" si="14">_xlfn.FORMULATEXT(E98)</f>
        <v>=ScaleLength(C98,D98, "ft. in. /0")</v>
      </c>
      <c r="G98" s="20" t="s">
        <v>234</v>
      </c>
    </row>
    <row r="99" spans="1:7" outlineLevel="1" x14ac:dyDescent="0.3"/>
    <row r="101" spans="1:7" ht="15.6" x14ac:dyDescent="0.3">
      <c r="A101" s="21" t="s">
        <v>236</v>
      </c>
      <c r="B101" s="22" t="s">
        <v>239</v>
      </c>
      <c r="G101" s="23" t="s">
        <v>237</v>
      </c>
    </row>
    <row r="102" spans="1:7" s="17" customFormat="1" outlineLevel="1" x14ac:dyDescent="0.3">
      <c r="B102" s="18">
        <v>1</v>
      </c>
      <c r="C102" s="18" t="s">
        <v>238</v>
      </c>
      <c r="D102" s="19"/>
      <c r="E102" s="19" cm="1">
        <f t="array" ref="E102">LengthInches(C102)</f>
        <v>144</v>
      </c>
      <c r="F102" s="20" t="str">
        <f t="shared" ref="F102:F105" ca="1" si="15">_xlfn.FORMULATEXT(E102)</f>
        <v>=LengthInches(C102)</v>
      </c>
      <c r="G102" s="20" t="s">
        <v>240</v>
      </c>
    </row>
    <row r="103" spans="1:7" outlineLevel="1" x14ac:dyDescent="0.3">
      <c r="B103" s="13">
        <v>2</v>
      </c>
      <c r="C103" s="12" t="s">
        <v>241</v>
      </c>
      <c r="E103" s="12" cm="1">
        <f t="array" ref="E103">LengthInches(C103)</f>
        <v>151.5</v>
      </c>
      <c r="F103" s="11" t="str">
        <f t="shared" ca="1" si="15"/>
        <v>=LengthInches(C103)</v>
      </c>
      <c r="G103" s="11" t="s">
        <v>255</v>
      </c>
    </row>
    <row r="104" spans="1:7" s="17" customFormat="1" outlineLevel="1" x14ac:dyDescent="0.3">
      <c r="B104" s="18">
        <v>3</v>
      </c>
      <c r="C104" s="19" t="s">
        <v>242</v>
      </c>
      <c r="D104" s="19"/>
      <c r="E104" s="19" cm="1">
        <f t="array" ref="E104">LengthInches(C104)</f>
        <v>28.5</v>
      </c>
      <c r="F104" s="20" t="str">
        <f t="shared" ca="1" si="15"/>
        <v>=LengthInches(C104)</v>
      </c>
      <c r="G104" s="20" t="s">
        <v>256</v>
      </c>
    </row>
    <row r="105" spans="1:7" outlineLevel="1" x14ac:dyDescent="0.3">
      <c r="B105" s="13">
        <v>4</v>
      </c>
      <c r="C105" s="16" t="s">
        <v>251</v>
      </c>
      <c r="E105" s="12" cm="1">
        <f t="array" ref="E105">LengthInches(C105)</f>
        <v>-148.875</v>
      </c>
      <c r="F105" s="11" t="str">
        <f t="shared" ca="1" si="15"/>
        <v>=LengthInches(C105)</v>
      </c>
      <c r="G105" s="11" t="s">
        <v>252</v>
      </c>
    </row>
    <row r="106" spans="1:7" s="17" customFormat="1" outlineLevel="1" x14ac:dyDescent="0.3">
      <c r="B106" s="18">
        <v>5</v>
      </c>
      <c r="C106" s="19" t="s">
        <v>178</v>
      </c>
      <c r="D106" s="19"/>
      <c r="E106" s="19" cm="1">
        <f t="array" ref="E106">LengthInches(C106)</f>
        <v>0</v>
      </c>
      <c r="F106" s="20" t="str">
        <f t="shared" ref="F106" ca="1" si="16">_xlfn.FORMULATEXT(E106)</f>
        <v>=LengthInches(C106)</v>
      </c>
      <c r="G106" s="20" t="s">
        <v>253</v>
      </c>
    </row>
    <row r="107" spans="1:7" outlineLevel="1" x14ac:dyDescent="0.3"/>
    <row r="110" spans="1:7" ht="15.6" x14ac:dyDescent="0.3">
      <c r="A110" s="21" t="s">
        <v>243</v>
      </c>
      <c r="B110" s="22" t="s">
        <v>244</v>
      </c>
      <c r="G110" s="23" t="s">
        <v>245</v>
      </c>
    </row>
    <row r="111" spans="1:7" s="17" customFormat="1" outlineLevel="1" x14ac:dyDescent="0.3">
      <c r="B111" s="18">
        <v>1</v>
      </c>
      <c r="C111" s="19" t="s">
        <v>246</v>
      </c>
      <c r="D111" s="19"/>
      <c r="E111" s="19" cm="1">
        <f t="array" ref="E111">LengthFeet(C111)</f>
        <v>12</v>
      </c>
      <c r="F111" s="20" t="str">
        <f t="shared" ref="F111:F113" ca="1" si="17">_xlfn.FORMULATEXT(E111)</f>
        <v>=LengthFeet(C111)</v>
      </c>
      <c r="G111" s="20" t="s">
        <v>247</v>
      </c>
    </row>
    <row r="112" spans="1:7" outlineLevel="1" x14ac:dyDescent="0.3">
      <c r="B112" s="13">
        <v>2</v>
      </c>
      <c r="C112" s="12" t="s">
        <v>248</v>
      </c>
      <c r="E112" s="12" cm="1">
        <f t="array" ref="E112">LengthFeet(C112)</f>
        <v>1.1666666666666667</v>
      </c>
      <c r="F112" s="11" t="str">
        <f t="shared" ca="1" si="17"/>
        <v>=LengthFeet(C112)</v>
      </c>
      <c r="G112" s="11" t="s">
        <v>257</v>
      </c>
    </row>
    <row r="113" spans="1:7" s="17" customFormat="1" outlineLevel="1" x14ac:dyDescent="0.3">
      <c r="B113" s="18">
        <v>3</v>
      </c>
      <c r="C113" s="19" t="s">
        <v>178</v>
      </c>
      <c r="D113" s="19"/>
      <c r="E113" s="19" cm="1">
        <f t="array" ref="E113">LengthFeet(C113)</f>
        <v>0</v>
      </c>
      <c r="F113" s="20" t="str">
        <f t="shared" ca="1" si="17"/>
        <v>=LengthFeet(C113)</v>
      </c>
      <c r="G113" s="20" t="s">
        <v>254</v>
      </c>
    </row>
    <row r="114" spans="1:7" outlineLevel="1" x14ac:dyDescent="0.3">
      <c r="B114" s="13">
        <v>4</v>
      </c>
      <c r="C114" s="16" t="s">
        <v>249</v>
      </c>
      <c r="E114" s="12" cm="1">
        <f t="array" ref="E114">LengthFeet(C114)</f>
        <v>-2</v>
      </c>
      <c r="F114" s="11" t="str">
        <f t="shared" ref="F114" ca="1" si="18">_xlfn.FORMULATEXT(E114)</f>
        <v>=LengthFeet(C114)</v>
      </c>
      <c r="G114" s="11" t="s">
        <v>258</v>
      </c>
    </row>
    <row r="115" spans="1:7" s="17" customFormat="1" outlineLevel="1" x14ac:dyDescent="0.3">
      <c r="B115" s="18">
        <v>5</v>
      </c>
      <c r="C115" s="19" t="s">
        <v>250</v>
      </c>
      <c r="D115" s="19"/>
      <c r="E115" s="19" cm="1">
        <f t="array" ref="E115">LengthFeet(C115)</f>
        <v>41.625</v>
      </c>
      <c r="F115" s="20" t="str">
        <f t="shared" ref="F115" ca="1" si="19">_xlfn.FORMULATEXT(E115)</f>
        <v>=LengthFeet(C115)</v>
      </c>
      <c r="G115" s="20" t="s">
        <v>259</v>
      </c>
    </row>
    <row r="116" spans="1:7" outlineLevel="1" x14ac:dyDescent="0.3"/>
    <row r="117" spans="1:7" outlineLevel="1" x14ac:dyDescent="0.3"/>
    <row r="120" spans="1:7" ht="15.6" x14ac:dyDescent="0.3">
      <c r="A120" s="21" t="s">
        <v>260</v>
      </c>
      <c r="B120" s="36" t="s">
        <v>261</v>
      </c>
    </row>
    <row r="121" spans="1:7" ht="333.6" customHeight="1" outlineLevel="2" x14ac:dyDescent="0.3">
      <c r="G121" s="11" t="s">
        <v>262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607A9-FBBA-40E7-8BDE-C5DD223672C2}">
  <sheetPr codeName="Sheet2"/>
  <dimension ref="B2:D31"/>
  <sheetViews>
    <sheetView workbookViewId="0">
      <selection activeCell="L25" sqref="L25"/>
    </sheetView>
  </sheetViews>
  <sheetFormatPr defaultRowHeight="14.4" x14ac:dyDescent="0.3"/>
  <cols>
    <col min="2" max="2" width="28.77734375" style="2" customWidth="1"/>
    <col min="3" max="3" width="23.21875" style="3" customWidth="1"/>
    <col min="4" max="4" width="35.33203125" style="3" customWidth="1"/>
  </cols>
  <sheetData>
    <row r="2" spans="2:4" ht="15.6" x14ac:dyDescent="0.3">
      <c r="B2" s="4" t="s">
        <v>9</v>
      </c>
    </row>
    <row r="3" spans="2:4" ht="57.6" x14ac:dyDescent="0.3">
      <c r="B3" s="5" t="s">
        <v>2</v>
      </c>
      <c r="C3" s="6" t="s">
        <v>3</v>
      </c>
      <c r="D3" s="6"/>
    </row>
    <row r="4" spans="2:4" ht="28.8" x14ac:dyDescent="0.3">
      <c r="B4" s="5" t="s">
        <v>4</v>
      </c>
      <c r="C4" s="6" t="str" cm="1">
        <f t="array" ref="C4">ReformatLength(C3,"SQ DQ /0")</f>
        <v>3 ' 8.29 "</v>
      </c>
      <c r="D4" s="7" t="s">
        <v>13</v>
      </c>
    </row>
    <row r="5" spans="2:4" ht="28.8" x14ac:dyDescent="0.3">
      <c r="B5" s="5" t="s">
        <v>5</v>
      </c>
      <c r="C5" s="8" t="str" cm="1">
        <f t="array" ref="C5">ReformatLength(C4,"SQ DQ /best")</f>
        <v>3 ' 8 18.6/64 "</v>
      </c>
      <c r="D5" s="7" t="s">
        <v>14</v>
      </c>
    </row>
    <row r="6" spans="2:4" x14ac:dyDescent="0.3">
      <c r="B6" s="5" t="s">
        <v>6</v>
      </c>
      <c r="C6" s="6" t="str" cm="1">
        <f t="array" ref="C6">DivideLength(C5,3,"SQ DQ /best")</f>
        <v>1 ' 2 48.9/64 "</v>
      </c>
      <c r="D6" s="7" t="s">
        <v>15</v>
      </c>
    </row>
    <row r="7" spans="2:4" x14ac:dyDescent="0.3">
      <c r="B7" s="5" t="s">
        <v>7</v>
      </c>
      <c r="C7" s="8" t="str" cm="1">
        <f t="array" ref="C7">ScaleLength(C6,3,"SQ DQ /best")</f>
        <v>3 ' 8 18.7/64 "</v>
      </c>
      <c r="D7" s="7" t="s">
        <v>16</v>
      </c>
    </row>
    <row r="8" spans="2:4" x14ac:dyDescent="0.3">
      <c r="B8" s="5" t="s">
        <v>8</v>
      </c>
      <c r="C8" s="6" t="str" cm="1">
        <f t="array" ref="C8">subtractlengths(C5,C7, "SQ DQ /0")</f>
        <v>- 1.56250596046448E-03 "</v>
      </c>
      <c r="D8" s="7" t="s">
        <v>17</v>
      </c>
    </row>
    <row r="10" spans="2:4" ht="15.6" x14ac:dyDescent="0.3">
      <c r="B10" s="4" t="s">
        <v>10</v>
      </c>
    </row>
    <row r="11" spans="2:4" ht="57.6" x14ac:dyDescent="0.3">
      <c r="B11" s="5" t="s">
        <v>2</v>
      </c>
      <c r="C11" s="6" t="str">
        <f>C3</f>
        <v>44.29"</v>
      </c>
      <c r="D11" s="7" t="s">
        <v>18</v>
      </c>
    </row>
    <row r="12" spans="2:4" ht="28.8" x14ac:dyDescent="0.3">
      <c r="B12" s="5" t="s">
        <v>4</v>
      </c>
      <c r="C12" s="8" t="str" cm="1">
        <f t="array" ref="C12">ReformatLength(C11,"SQ DQ /0")</f>
        <v>3 ' 8.29 "</v>
      </c>
      <c r="D12" s="7" t="s">
        <v>19</v>
      </c>
    </row>
    <row r="13" spans="2:4" x14ac:dyDescent="0.3">
      <c r="B13" s="5" t="s">
        <v>6</v>
      </c>
      <c r="C13" s="6" t="str" cm="1">
        <f t="array" ref="C13">DivideLength(C12,3,"SQ DQ /0")</f>
        <v>1 ' 2.76333333333333 "</v>
      </c>
      <c r="D13" s="7" t="s">
        <v>20</v>
      </c>
    </row>
    <row r="14" spans="2:4" x14ac:dyDescent="0.3">
      <c r="B14" s="5" t="s">
        <v>7</v>
      </c>
      <c r="C14" s="8" t="str" cm="1">
        <f t="array" ref="C14">ScaleLength(C13,3,"SQ DQ /0")</f>
        <v>3 ' 8.28999999999999 "</v>
      </c>
      <c r="D14" s="7" t="s">
        <v>21</v>
      </c>
    </row>
    <row r="15" spans="2:4" x14ac:dyDescent="0.3">
      <c r="B15" s="5" t="s">
        <v>8</v>
      </c>
      <c r="C15" s="6" t="str" cm="1">
        <f t="array" ref="C15">subtractlengths(C12,C14,"SQ DQ /0")</f>
        <v>7.105427357601E-15 "</v>
      </c>
      <c r="D15" s="7" t="s">
        <v>22</v>
      </c>
    </row>
    <row r="17" spans="2:4" ht="31.2" x14ac:dyDescent="0.3">
      <c r="B17" s="4" t="s">
        <v>12</v>
      </c>
    </row>
    <row r="18" spans="2:4" ht="57.6" x14ac:dyDescent="0.3">
      <c r="B18" s="5" t="s">
        <v>2</v>
      </c>
      <c r="C18" s="6" t="str">
        <f>C3</f>
        <v>44.29"</v>
      </c>
      <c r="D18" s="7" t="s">
        <v>18</v>
      </c>
    </row>
    <row r="19" spans="2:4" ht="28.8" x14ac:dyDescent="0.3">
      <c r="B19" s="5" t="s">
        <v>4</v>
      </c>
      <c r="C19" s="6" t="str" cm="1">
        <f t="array" ref="C19">ReformatLength(C18,"SQ DQ /0")</f>
        <v>3 ' 8.29 "</v>
      </c>
      <c r="D19" s="7" t="s">
        <v>23</v>
      </c>
    </row>
    <row r="20" spans="2:4" ht="28.8" x14ac:dyDescent="0.3">
      <c r="B20" s="5" t="s">
        <v>5</v>
      </c>
      <c r="C20" s="8" t="str" cm="1">
        <f t="array" ref="C20">ReformatLength(C19,"SQ DQ /32")</f>
        <v>3 ' 8 9.3/32 "</v>
      </c>
      <c r="D20" s="7" t="s">
        <v>24</v>
      </c>
    </row>
    <row r="21" spans="2:4" x14ac:dyDescent="0.3">
      <c r="B21" s="5" t="s">
        <v>6</v>
      </c>
      <c r="C21" s="6" t="str" cm="1">
        <f t="array" ref="C21">DivideLength(C20,3,"SQ DQ /32")</f>
        <v>1 ' 2 24.4/32 "</v>
      </c>
      <c r="D21" s="7" t="s">
        <v>25</v>
      </c>
    </row>
    <row r="22" spans="2:4" x14ac:dyDescent="0.3">
      <c r="B22" s="5" t="s">
        <v>7</v>
      </c>
      <c r="C22" s="8" t="str" cm="1">
        <f t="array" ref="C22">ScaleLength(C21,3,"SQ DQ /32")</f>
        <v>3 ' 8 9.2/32 "</v>
      </c>
      <c r="D22" s="7" t="s">
        <v>26</v>
      </c>
    </row>
    <row r="23" spans="2:4" x14ac:dyDescent="0.3">
      <c r="B23" s="5" t="s">
        <v>8</v>
      </c>
      <c r="C23" s="6" t="str" cm="1">
        <f t="array" ref="C23">subtractlengths(C20,C22,"SQ DQ /32")</f>
        <v>0 0.1/32 "</v>
      </c>
      <c r="D23" s="7" t="s">
        <v>27</v>
      </c>
    </row>
    <row r="25" spans="2:4" ht="31.2" x14ac:dyDescent="0.3">
      <c r="B25" s="4" t="s">
        <v>11</v>
      </c>
    </row>
    <row r="26" spans="2:4" ht="57.6" x14ac:dyDescent="0.3">
      <c r="B26" s="5" t="s">
        <v>2</v>
      </c>
      <c r="C26" s="6" t="str">
        <f>C11</f>
        <v>44.29"</v>
      </c>
      <c r="D26" s="7" t="s">
        <v>28</v>
      </c>
    </row>
    <row r="27" spans="2:4" ht="28.8" x14ac:dyDescent="0.3">
      <c r="B27" s="5" t="s">
        <v>4</v>
      </c>
      <c r="C27" s="6" t="str" cm="1">
        <f t="array" ref="C27">ReformatLength(C26,"SQ DQ /0")</f>
        <v>3 ' 8.29 "</v>
      </c>
      <c r="D27" s="7" t="s">
        <v>29</v>
      </c>
    </row>
    <row r="28" spans="2:4" ht="28.8" x14ac:dyDescent="0.3">
      <c r="B28" s="5" t="s">
        <v>5</v>
      </c>
      <c r="C28" s="8" t="str" cm="1">
        <f t="array" ref="C28">ReformatLength(C27,"SQ DQ /~32")</f>
        <v>3 ' 8 9/32 "</v>
      </c>
      <c r="D28" s="7" t="s">
        <v>30</v>
      </c>
    </row>
    <row r="29" spans="2:4" x14ac:dyDescent="0.3">
      <c r="B29" s="5" t="s">
        <v>6</v>
      </c>
      <c r="C29" s="6" t="str" cm="1">
        <f t="array" ref="C29">DivideLength(C28,3,"SQ DQ /~32")</f>
        <v>1 ' 2 24/32 "</v>
      </c>
      <c r="D29" s="7" t="s">
        <v>31</v>
      </c>
    </row>
    <row r="30" spans="2:4" x14ac:dyDescent="0.3">
      <c r="B30" s="5" t="s">
        <v>7</v>
      </c>
      <c r="C30" s="8" t="str" cm="1">
        <f t="array" ref="C30">ScaleLength(C29,3,"SQ DQ /~32")</f>
        <v>3 ' 8 8/32 "</v>
      </c>
      <c r="D30" s="7" t="s">
        <v>32</v>
      </c>
    </row>
    <row r="31" spans="2:4" x14ac:dyDescent="0.3">
      <c r="B31" s="5" t="s">
        <v>8</v>
      </c>
      <c r="C31" s="6" t="str" cm="1">
        <f t="array" ref="C31">subtractlengths(C28,C30,"SQ DQ /32")</f>
        <v>0 1/32 "</v>
      </c>
      <c r="D31" s="7" t="s">
        <v>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0DA7E-1A4F-4F7C-A467-0D95EF46674D}">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README</vt:lpstr>
      <vt:lpstr>Examples</vt:lpstr>
      <vt:lpstr>Accuracy Story</vt:lpstr>
      <vt:lpstr>Sheet1</vt:lpstr>
      <vt:lpstr>Range1</vt:lpstr>
      <vt:lpstr>Range2</vt:lpstr>
      <vt:lpstr>Range3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Sikora</dc:creator>
  <cp:lastModifiedBy>Mark Sikora</cp:lastModifiedBy>
  <dcterms:created xsi:type="dcterms:W3CDTF">2025-05-24T01:07:53Z</dcterms:created>
  <dcterms:modified xsi:type="dcterms:W3CDTF">2025-05-30T13:02:06Z</dcterms:modified>
</cp:coreProperties>
</file>